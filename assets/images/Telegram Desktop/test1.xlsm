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filterPrivacy="1" codeName="ЭтаКнига" defaultThemeVersion="124226"/>
  <xr:revisionPtr revIDLastSave="0" documentId="13_ncr:1_{739EE8E1-A61B-4074-9126-7C98DFEA8946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Лист1" sheetId="23" state="hidden" r:id="rId1"/>
    <sheet name="Лист2" sheetId="24" state="hidden" r:id="rId2"/>
    <sheet name="забол мл по годам" sheetId="42" state="hidden" r:id="rId3"/>
    <sheet name="База данных" sheetId="45" r:id="rId4"/>
    <sheet name="Лист3" sheetId="46" state="hidden" r:id="rId5"/>
    <sheet name="cnh" sheetId="35" r:id="rId6"/>
    <sheet name="Лист4" sheetId="47" state="hidden" r:id="rId7"/>
  </sheets>
  <calcPr calcId="191029"/>
</workbook>
</file>

<file path=xl/calcChain.xml><?xml version="1.0" encoding="utf-8"?>
<calcChain xmlns="http://schemas.openxmlformats.org/spreadsheetml/2006/main">
  <c r="M23" i="42" l="1"/>
  <c r="L25" i="42"/>
  <c r="K25" i="42"/>
  <c r="J25" i="42"/>
  <c r="I25" i="42"/>
  <c r="H25" i="42"/>
  <c r="G25" i="42"/>
  <c r="F25" i="42"/>
  <c r="E25" i="42"/>
  <c r="D25" i="42"/>
  <c r="L15" i="42"/>
  <c r="K15" i="42"/>
  <c r="J15" i="42"/>
  <c r="I15" i="42"/>
  <c r="H15" i="42"/>
  <c r="G15" i="42"/>
  <c r="F15" i="42"/>
  <c r="E15" i="42"/>
  <c r="M15" i="42" s="1"/>
  <c r="D15" i="42"/>
  <c r="L11" i="42"/>
  <c r="K11" i="42"/>
  <c r="J11" i="42"/>
  <c r="I11" i="42"/>
  <c r="H11" i="42"/>
  <c r="G11" i="42"/>
  <c r="F11" i="42"/>
  <c r="E11" i="42"/>
  <c r="D11" i="42"/>
  <c r="L7" i="42"/>
  <c r="K7" i="42"/>
  <c r="J7" i="42"/>
  <c r="J6" i="42" s="1"/>
  <c r="I7" i="42"/>
  <c r="H7" i="42"/>
  <c r="G7" i="42"/>
  <c r="F7" i="42"/>
  <c r="E7" i="42"/>
  <c r="D7" i="42"/>
  <c r="M34" i="42"/>
  <c r="M33" i="42"/>
  <c r="M32" i="42"/>
  <c r="M31" i="42"/>
  <c r="M30" i="42"/>
  <c r="M28" i="42"/>
  <c r="M27" i="42"/>
  <c r="M26" i="42"/>
  <c r="M24" i="42"/>
  <c r="M22" i="42"/>
  <c r="M21" i="42"/>
  <c r="M20" i="42"/>
  <c r="M19" i="42"/>
  <c r="M18" i="42"/>
  <c r="M17" i="42"/>
  <c r="M16" i="42"/>
  <c r="M14" i="42"/>
  <c r="M13" i="42"/>
  <c r="M12" i="42"/>
  <c r="M10" i="42"/>
  <c r="M9" i="42"/>
  <c r="M8" i="42"/>
  <c r="D29" i="42"/>
  <c r="E29" i="42"/>
  <c r="F29" i="42"/>
  <c r="G29" i="42"/>
  <c r="H29" i="42"/>
  <c r="I29" i="42"/>
  <c r="J29" i="42"/>
  <c r="K29" i="42"/>
  <c r="L29" i="42"/>
  <c r="C51" i="42"/>
  <c r="M7" i="42" l="1"/>
  <c r="M11" i="42"/>
  <c r="M25" i="42"/>
  <c r="I6" i="42"/>
  <c r="I5" i="42" s="1"/>
  <c r="F6" i="42"/>
  <c r="F5" i="42" s="1"/>
  <c r="E6" i="42"/>
  <c r="E5" i="42" s="1"/>
  <c r="D6" i="42"/>
  <c r="D5" i="42" s="1"/>
  <c r="L6" i="42"/>
  <c r="L5" i="42" s="1"/>
  <c r="K6" i="42"/>
  <c r="K5" i="42" s="1"/>
  <c r="M29" i="42"/>
  <c r="G6" i="42"/>
  <c r="G5" i="42" s="1"/>
  <c r="H6" i="42"/>
  <c r="H5" i="42" s="1"/>
  <c r="J5" i="42"/>
  <c r="M5" i="42" l="1"/>
  <c r="M6" i="42"/>
  <c r="M35" i="42" s="1"/>
</calcChain>
</file>

<file path=xl/sharedStrings.xml><?xml version="1.0" encoding="utf-8"?>
<sst xmlns="http://schemas.openxmlformats.org/spreadsheetml/2006/main" count="700" uniqueCount="455">
  <si>
    <t>Дата рождения</t>
  </si>
  <si>
    <t>п/п</t>
  </si>
  <si>
    <t>Фамилия Имя Отчество</t>
  </si>
  <si>
    <t>ФГ</t>
  </si>
  <si>
    <t>Воронов Иван Матвеевич</t>
  </si>
  <si>
    <t>Ганус Богдан Алексеевич</t>
  </si>
  <si>
    <t>Грошев Родион Александрович</t>
  </si>
  <si>
    <t>Демьянчик Алина Станиславовна</t>
  </si>
  <si>
    <t>Земляков Егор Антонович</t>
  </si>
  <si>
    <t>Игнатьев Артем Алексеевич</t>
  </si>
  <si>
    <t>Казанли Екатерина Александровна</t>
  </si>
  <si>
    <t>Кетова Кристина Алексеевна</t>
  </si>
  <si>
    <t>Киреева Ксения Андреевна</t>
  </si>
  <si>
    <t>Колчанова Полина Дмитриевна</t>
  </si>
  <si>
    <t>Лысова София Юрьевна</t>
  </si>
  <si>
    <t>Максимец Илья Андреевич</t>
  </si>
  <si>
    <t>Панасюк Михаил Васильевич</t>
  </si>
  <si>
    <t>Раздолгина Ксения Анатольевна</t>
  </si>
  <si>
    <t>Рыбкина Маргарита Павловна</t>
  </si>
  <si>
    <t>Рофер Алиса Ильинична</t>
  </si>
  <si>
    <t>Фатеева Арина Дмитриевна</t>
  </si>
  <si>
    <t>Федосеев Илья Григорьевич</t>
  </si>
  <si>
    <t>Харивский Андрей Олегович</t>
  </si>
  <si>
    <t>Чибышев Данила Алексеевич</t>
  </si>
  <si>
    <t>Шман Георгий Витальевич</t>
  </si>
  <si>
    <t>Листы здоровья 8 "А" Класс</t>
  </si>
  <si>
    <t>Диагноз</t>
  </si>
  <si>
    <t>ПВС</t>
  </si>
  <si>
    <t>ФСШ</t>
  </si>
  <si>
    <t>Здоров</t>
  </si>
  <si>
    <t>Здорова</t>
  </si>
  <si>
    <t>подг</t>
  </si>
  <si>
    <t>III</t>
  </si>
  <si>
    <t>осн</t>
  </si>
  <si>
    <t>II</t>
  </si>
  <si>
    <t>I</t>
  </si>
  <si>
    <t>R01.0</t>
  </si>
  <si>
    <t>M21.0</t>
  </si>
  <si>
    <t>H52.0</t>
  </si>
  <si>
    <t>Z00.1</t>
  </si>
  <si>
    <t>K42 M21.0 K82.8</t>
  </si>
  <si>
    <t>МКБ-10</t>
  </si>
  <si>
    <t>МКБ 10</t>
  </si>
  <si>
    <t>H52.1</t>
  </si>
  <si>
    <t>J35.2</t>
  </si>
  <si>
    <t>E22.8</t>
  </si>
  <si>
    <t>J30.1</t>
  </si>
  <si>
    <t>K29.6</t>
  </si>
  <si>
    <t>M21.1</t>
  </si>
  <si>
    <t>H52.2</t>
  </si>
  <si>
    <t>R56.0</t>
  </si>
  <si>
    <t>M40.4</t>
  </si>
  <si>
    <t>M21.0 R01.0</t>
  </si>
  <si>
    <t>L20.8</t>
  </si>
  <si>
    <t>Миопия сл ст</t>
  </si>
  <si>
    <t>K82.8</t>
  </si>
  <si>
    <t>H52.5 M21.0</t>
  </si>
  <si>
    <t>J35.3</t>
  </si>
  <si>
    <t>M21.0 M40.4</t>
  </si>
  <si>
    <t>H52.5</t>
  </si>
  <si>
    <t>K29.9</t>
  </si>
  <si>
    <t>N30.0</t>
  </si>
  <si>
    <t>Нарушение осанки. ПВС. Миопия</t>
  </si>
  <si>
    <t>Варикоцеле</t>
  </si>
  <si>
    <t>Нарушение осанки. Гиперметропия сл ст ОИ ПВС Пуп грыжа</t>
  </si>
  <si>
    <t xml:space="preserve">Спазм аккомодации   </t>
  </si>
  <si>
    <t>ФСШ. Нарушение осанки.</t>
  </si>
  <si>
    <t>Пуп грыжа. ПВС. ДЖВП.</t>
  </si>
  <si>
    <t>Пина. Комбин плоскостопие I ст.</t>
  </si>
  <si>
    <t>ПВС. Нар осанки.</t>
  </si>
  <si>
    <t>Гиперметропия сл ст</t>
  </si>
  <si>
    <t>МАС:ДХЛЖ НК0. БА, легк ст.ПВС. Нар осанки</t>
  </si>
  <si>
    <t>Гипотиреоз? Миопия  I ст.АД. ИМВП.ДЖВП ЯБДПК Хр гастрит</t>
  </si>
  <si>
    <t>ВПС: неб ДМПП (3мм) НК0. Миопия ср ст прогрессир теч. ПВС.</t>
  </si>
  <si>
    <t>Расходящееся косоглазие ОИ, гиперметропия сл ст. недостат конвергенции.спазм аккомодации.хр пиелонефрит. ВСД.</t>
  </si>
  <si>
    <t>Нар осанки. ПВС.Фимоз.</t>
  </si>
  <si>
    <t>Миопия. Спазм аккомодации. Спин нед. МАС: ООО.ДЖЛЖ. НК0 Аритмия</t>
  </si>
  <si>
    <t>Нар осанки ПВС Гр риска по миопии</t>
  </si>
  <si>
    <t>МАС:ДХЛЖ ПМК Iст НК0 ПВС Нар осанки Разновысок Миопия сл ст</t>
  </si>
  <si>
    <t>M40.4 M21.0 H52.1</t>
  </si>
  <si>
    <t>I86.1</t>
  </si>
  <si>
    <t>M40.4 M21.0 H52.0 K42</t>
  </si>
  <si>
    <t>R01.0 M40.4</t>
  </si>
  <si>
    <t>Q20.1 J45 M40.4</t>
  </si>
  <si>
    <t>E03.2 H52.1 N10 K82.8 K29</t>
  </si>
  <si>
    <t>Q21.1 H52.1 M21.0</t>
  </si>
  <si>
    <t>H50.0 H52.0 H52.2 N11 G90.8</t>
  </si>
  <si>
    <t>M40.4 M21.0 N47</t>
  </si>
  <si>
    <t>H52.1 H52.2 G12.8 Q21.0 Q20.1 I49</t>
  </si>
  <si>
    <t>Q20.1 I34.1 M21.0 H52.1</t>
  </si>
  <si>
    <t>G93.6</t>
  </si>
  <si>
    <t>Адрес проживания</t>
  </si>
  <si>
    <t>Комендантский пр 51-1-101</t>
  </si>
  <si>
    <t>Комендантский пр 51-1-865</t>
  </si>
  <si>
    <t>Шуваловский пр 41-1-90</t>
  </si>
  <si>
    <t>Королёва пр 65-17</t>
  </si>
  <si>
    <t>Шаврова пр 15-143</t>
  </si>
  <si>
    <t>Шуваловский пр 41-1-600</t>
  </si>
  <si>
    <t>Лидии Зверевой ул  5-1-211</t>
  </si>
  <si>
    <t>Комендантский пр 51-1-1170</t>
  </si>
  <si>
    <t>Комендантский пр 53-3-10</t>
  </si>
  <si>
    <t>Планерная ул 67-3-94</t>
  </si>
  <si>
    <t>Комендантский пр 51-1-1368</t>
  </si>
  <si>
    <t>Комендантский пр 50-1-154</t>
  </si>
  <si>
    <t>Верхне-Каменская ул 5-91</t>
  </si>
  <si>
    <t>Комендантский пр 51-1-26</t>
  </si>
  <si>
    <t>Авиаконструкторов пр 47-2</t>
  </si>
  <si>
    <t>Королёва пр 65-51</t>
  </si>
  <si>
    <t>Комендантский пр 51-1-390</t>
  </si>
  <si>
    <t>Плесецкая ул 21-1-166</t>
  </si>
  <si>
    <t>Комендантский пр 51-1-1326</t>
  </si>
  <si>
    <t>Комендантский пр 51-1-894</t>
  </si>
  <si>
    <t>Парашютная ул 54-350</t>
  </si>
  <si>
    <t>Королёва пр 63-2-386</t>
  </si>
  <si>
    <t>Рост</t>
  </si>
  <si>
    <t>Вес</t>
  </si>
  <si>
    <t>Бычихин Никита Олегович</t>
  </si>
  <si>
    <t>Колмыкова Маргарита Романовна</t>
  </si>
  <si>
    <t>Урес Алексей Витальевич</t>
  </si>
  <si>
    <t>Мытнинская ул 15-69</t>
  </si>
  <si>
    <t>МАРС:ООО</t>
  </si>
  <si>
    <t>Q21.0</t>
  </si>
  <si>
    <t>Коменд пр 51-1-752</t>
  </si>
  <si>
    <t>Нар осанки ПВС Миопия сл ст  Пуп грыжа</t>
  </si>
  <si>
    <t>M40.4 M21.0 K42 H52.1</t>
  </si>
  <si>
    <t>Диагноз до</t>
  </si>
  <si>
    <t>Диагноз после</t>
  </si>
  <si>
    <t>ГЗ до</t>
  </si>
  <si>
    <t>ГЗ после</t>
  </si>
  <si>
    <t>Половая формула</t>
  </si>
  <si>
    <t>M40.4 M21.0 H52.1 N43.3</t>
  </si>
  <si>
    <t>Ах1 Р2 Fa1</t>
  </si>
  <si>
    <t>Ma2 P2 Ax2 Me3</t>
  </si>
  <si>
    <t>Ma2 P2 Ax1 Me0</t>
  </si>
  <si>
    <t>Ma3 P3 Ax2 Me3</t>
  </si>
  <si>
    <t>не было</t>
  </si>
  <si>
    <t>Менархе</t>
  </si>
  <si>
    <t>Ах1 Р2 Fa0</t>
  </si>
  <si>
    <t>Ах1 Р1 Fa0</t>
  </si>
  <si>
    <t>Не было на осмотре</t>
  </si>
  <si>
    <t>Ma3 P3 Ax3 Me3</t>
  </si>
  <si>
    <t>Ma2 P3 Ax2 Me3</t>
  </si>
  <si>
    <t>Ma2 P2 Ax2 Me0</t>
  </si>
  <si>
    <t>Ma2 P2 Ax1 Me3</t>
  </si>
  <si>
    <t>10лет 4мес сразу</t>
  </si>
  <si>
    <t>11лет 11мес сразу</t>
  </si>
  <si>
    <t>10лет 6мес сразу</t>
  </si>
  <si>
    <t>13лет 1мес через 3 мес</t>
  </si>
  <si>
    <t>12лет 7мес сразу</t>
  </si>
  <si>
    <t>13лет 6мес через 9мес</t>
  </si>
  <si>
    <t>12лет сразу</t>
  </si>
  <si>
    <r>
      <t xml:space="preserve"> </t>
    </r>
    <r>
      <rPr>
        <b/>
        <sz val="11"/>
        <color indexed="8"/>
        <rFont val="Calibri"/>
        <family val="2"/>
      </rPr>
      <t>J45</t>
    </r>
    <r>
      <rPr>
        <sz val="11"/>
        <color indexed="8"/>
        <rFont val="Calibri"/>
        <family val="2"/>
      </rPr>
      <t xml:space="preserve"> M40.4 Q20.1</t>
    </r>
  </si>
  <si>
    <r>
      <rPr>
        <b/>
        <sz val="11"/>
        <color indexed="8"/>
        <rFont val="Calibri"/>
        <family val="2"/>
      </rPr>
      <t>E03.2 H52.1</t>
    </r>
    <r>
      <rPr>
        <sz val="11"/>
        <color indexed="8"/>
        <rFont val="Calibri"/>
        <family val="2"/>
      </rPr>
      <t xml:space="preserve"> N10 K82.8 K29</t>
    </r>
  </si>
  <si>
    <r>
      <rPr>
        <b/>
        <sz val="11"/>
        <color indexed="8"/>
        <rFont val="Calibri"/>
        <family val="2"/>
      </rPr>
      <t>H52.1</t>
    </r>
    <r>
      <rPr>
        <sz val="11"/>
        <color indexed="8"/>
        <rFont val="Calibri"/>
        <family val="2"/>
      </rPr>
      <t xml:space="preserve"> Q21.1  M21.0</t>
    </r>
  </si>
  <si>
    <r>
      <rPr>
        <b/>
        <sz val="11"/>
        <color indexed="8"/>
        <rFont val="Calibri"/>
        <family val="2"/>
      </rPr>
      <t>H52.1</t>
    </r>
    <r>
      <rPr>
        <sz val="11"/>
        <color indexed="8"/>
        <rFont val="Calibri"/>
        <family val="2"/>
      </rPr>
      <t xml:space="preserve"> M40.4 M21.0 K42 </t>
    </r>
  </si>
  <si>
    <t>E55.0</t>
  </si>
  <si>
    <t>E67.8</t>
  </si>
  <si>
    <t>G93.4</t>
  </si>
  <si>
    <t>J30.4</t>
  </si>
  <si>
    <t>H04.1</t>
  </si>
  <si>
    <t>H50.0</t>
  </si>
  <si>
    <t>M53.2</t>
  </si>
  <si>
    <t>N30.9</t>
  </si>
  <si>
    <t>N43.4</t>
  </si>
  <si>
    <t>Q20.1</t>
  </si>
  <si>
    <t>Q21.1</t>
  </si>
  <si>
    <t>Q52.5</t>
  </si>
  <si>
    <t>Q67.6</t>
  </si>
  <si>
    <t>N16.3</t>
  </si>
  <si>
    <t>I49.5</t>
  </si>
  <si>
    <t>H53.2</t>
  </si>
  <si>
    <t>Q25.4</t>
  </si>
  <si>
    <t>H53.0</t>
  </si>
  <si>
    <t>K43.9</t>
  </si>
  <si>
    <t>G96.8</t>
  </si>
  <si>
    <t>A49.1</t>
  </si>
  <si>
    <t>D73.8</t>
  </si>
  <si>
    <t>M93.8</t>
  </si>
  <si>
    <t>M62.0</t>
  </si>
  <si>
    <t>H50.5</t>
  </si>
  <si>
    <t>F98.0</t>
  </si>
  <si>
    <t>S22.0</t>
  </si>
  <si>
    <t>Q63.8</t>
  </si>
  <si>
    <t>D58.0</t>
  </si>
  <si>
    <t>M35.7</t>
  </si>
  <si>
    <t>I34.1</t>
  </si>
  <si>
    <t>G43.1</t>
  </si>
  <si>
    <t>Q67.5</t>
  </si>
  <si>
    <t>J34.2</t>
  </si>
  <si>
    <t>Q72.0</t>
  </si>
  <si>
    <t>Q24.8</t>
  </si>
  <si>
    <t>I49.1</t>
  </si>
  <si>
    <t>M53.8</t>
  </si>
  <si>
    <t>G94.8</t>
  </si>
  <si>
    <t>J38.1</t>
  </si>
  <si>
    <t>F98.5</t>
  </si>
  <si>
    <t>H90.4</t>
  </si>
  <si>
    <t>G40.0</t>
  </si>
  <si>
    <t>Q27.3</t>
  </si>
  <si>
    <t>M40.0</t>
  </si>
  <si>
    <t>M35.8</t>
  </si>
  <si>
    <t>Q10.0</t>
  </si>
  <si>
    <t>K04.4</t>
  </si>
  <si>
    <t>M08.2</t>
  </si>
  <si>
    <t>N50.8</t>
  </si>
  <si>
    <t>Q77.1</t>
  </si>
  <si>
    <t>K04.5</t>
  </si>
  <si>
    <t>Q12.0</t>
  </si>
  <si>
    <t>G44.2</t>
  </si>
  <si>
    <t>M02.8</t>
  </si>
  <si>
    <t>N39.3</t>
  </si>
  <si>
    <t>G90.8</t>
  </si>
  <si>
    <t>E06.3</t>
  </si>
  <si>
    <t>I42.0</t>
  </si>
  <si>
    <t>D69.3</t>
  </si>
  <si>
    <t>G51.0</t>
  </si>
  <si>
    <t>E04.0</t>
  </si>
  <si>
    <t>E03.2</t>
  </si>
  <si>
    <t>G12.8</t>
  </si>
  <si>
    <t>R67.8</t>
  </si>
  <si>
    <t>№</t>
  </si>
  <si>
    <t>J30.4 H52.7</t>
  </si>
  <si>
    <t>M21.0 G25.0</t>
  </si>
  <si>
    <t>Q25.0</t>
  </si>
  <si>
    <t>J04.0</t>
  </si>
  <si>
    <t>Q20.9</t>
  </si>
  <si>
    <t>K42.9 M21.0</t>
  </si>
  <si>
    <t>M21.0 H52.5</t>
  </si>
  <si>
    <t>ОНР</t>
  </si>
  <si>
    <t>I49.3</t>
  </si>
  <si>
    <t>K42.9</t>
  </si>
  <si>
    <t>H52.3</t>
  </si>
  <si>
    <t>E66.0</t>
  </si>
  <si>
    <t>Отчет по острой заболеваемости Морской лицей Приморского района за _______________</t>
  </si>
  <si>
    <t>Наименование классов и отдельных болезней</t>
  </si>
  <si>
    <t>Шифр по МКБ-10</t>
  </si>
  <si>
    <t>Декабрь 21г</t>
  </si>
  <si>
    <t>Январь 22г</t>
  </si>
  <si>
    <t>Февраль 22г</t>
  </si>
  <si>
    <t>март 22г</t>
  </si>
  <si>
    <t>Среднесписочная численность</t>
  </si>
  <si>
    <t>Всего зарегистрировано заболеваний</t>
  </si>
  <si>
    <t>А00-Т98</t>
  </si>
  <si>
    <t>Инфекционные болезни, всего</t>
  </si>
  <si>
    <t>А00-В99</t>
  </si>
  <si>
    <t>Острая кишечная инфекция, всего</t>
  </si>
  <si>
    <t>А00-А09</t>
  </si>
  <si>
    <t>В т.ч. сальмонелёз</t>
  </si>
  <si>
    <t>А01-А02</t>
  </si>
  <si>
    <t>шигилез</t>
  </si>
  <si>
    <t>А03</t>
  </si>
  <si>
    <t>Вирусные и др. уточненные инфекции</t>
  </si>
  <si>
    <t>А08</t>
  </si>
  <si>
    <t>Бактериальные инфекции</t>
  </si>
  <si>
    <t>А30-А19</t>
  </si>
  <si>
    <t>дифтерия</t>
  </si>
  <si>
    <t>А36</t>
  </si>
  <si>
    <t>коклюш</t>
  </si>
  <si>
    <t>А37</t>
  </si>
  <si>
    <t>скарлатина</t>
  </si>
  <si>
    <t>А38</t>
  </si>
  <si>
    <t>Вирусные инфекции</t>
  </si>
  <si>
    <t>В00-В19</t>
  </si>
  <si>
    <t>Ветряная оспа</t>
  </si>
  <si>
    <t>В01</t>
  </si>
  <si>
    <t>Корь</t>
  </si>
  <si>
    <t>В05</t>
  </si>
  <si>
    <t>Краснуха</t>
  </si>
  <si>
    <t>В06</t>
  </si>
  <si>
    <t>Гепатиты, всего</t>
  </si>
  <si>
    <t>В15-В19</t>
  </si>
  <si>
    <t>Гепатит А</t>
  </si>
  <si>
    <t>В15</t>
  </si>
  <si>
    <t>Гепатит В</t>
  </si>
  <si>
    <t>В16</t>
  </si>
  <si>
    <t>Гепатит С</t>
  </si>
  <si>
    <t>В17.1</t>
  </si>
  <si>
    <t>Эпидемический паротит</t>
  </si>
  <si>
    <t>В26</t>
  </si>
  <si>
    <t>Инфестации</t>
  </si>
  <si>
    <t>85-89</t>
  </si>
  <si>
    <t>Педикулез</t>
  </si>
  <si>
    <t>В85</t>
  </si>
  <si>
    <t>Чесотка</t>
  </si>
  <si>
    <t>В86</t>
  </si>
  <si>
    <t>Прочие инфекции и паразитарные заболевания</t>
  </si>
  <si>
    <t>67-89</t>
  </si>
  <si>
    <t>4.0</t>
  </si>
  <si>
    <t>Болезни органов дыхания</t>
  </si>
  <si>
    <t>J00-J99</t>
  </si>
  <si>
    <t>Острые респираторные инфекции</t>
  </si>
  <si>
    <t>J00-J06</t>
  </si>
  <si>
    <t>О.тонзилит</t>
  </si>
  <si>
    <t>J03-J03.9</t>
  </si>
  <si>
    <t>Грипп</t>
  </si>
  <si>
    <t>J10</t>
  </si>
  <si>
    <t>Пневмония</t>
  </si>
  <si>
    <t>J18</t>
  </si>
  <si>
    <t>6.0</t>
  </si>
  <si>
    <t>Прочие острые заболевания</t>
  </si>
  <si>
    <t>Итог</t>
  </si>
  <si>
    <t>др</t>
  </si>
  <si>
    <t>K80.0</t>
  </si>
  <si>
    <t>N47.0</t>
  </si>
  <si>
    <t>N94.6</t>
  </si>
  <si>
    <t>E30.0</t>
  </si>
  <si>
    <t>E34.4</t>
  </si>
  <si>
    <t>E34.3</t>
  </si>
  <si>
    <t>K02.0</t>
  </si>
  <si>
    <t>Q72.1</t>
  </si>
  <si>
    <t>I35.0</t>
  </si>
  <si>
    <t>M40.3</t>
  </si>
  <si>
    <t>M21.0 H52.1 H52.2 I35.0</t>
  </si>
  <si>
    <t>M40.3 H52.2 J35.3</t>
  </si>
  <si>
    <t>N31.0</t>
  </si>
  <si>
    <t>H52.2 H52.5 K42.9 M21.0 N31.0 F98.0</t>
  </si>
  <si>
    <t>M21.0 H52.1 H52.2</t>
  </si>
  <si>
    <t>M21.4</t>
  </si>
  <si>
    <t>K42.9 K82.8 M21.0 M40.4</t>
  </si>
  <si>
    <t>Q20.9 N47.0 M21.0 G96.8</t>
  </si>
  <si>
    <t>H52.7</t>
  </si>
  <si>
    <t>E44.1</t>
  </si>
  <si>
    <t>R00.1</t>
  </si>
  <si>
    <t>I49.9</t>
  </si>
  <si>
    <t>M21.0 H52.0 H50.5 R00.1 I49.9</t>
  </si>
  <si>
    <t>R01.0 Q12.0 H52.0 E44.1 K02.0</t>
  </si>
  <si>
    <t>G25.0</t>
  </si>
  <si>
    <t>G96.8 K42.9</t>
  </si>
  <si>
    <t>L20.9</t>
  </si>
  <si>
    <t>G90.9</t>
  </si>
  <si>
    <t>G47.0</t>
  </si>
  <si>
    <t>H52.2 M40.4 M21.0</t>
  </si>
  <si>
    <t>Q20.9 I49.5 M21.0 N47.0</t>
  </si>
  <si>
    <t>G93.8</t>
  </si>
  <si>
    <t>Q66.8</t>
  </si>
  <si>
    <t>G95.8</t>
  </si>
  <si>
    <t>N43.3</t>
  </si>
  <si>
    <t>I45.6</t>
  </si>
  <si>
    <t>H40.4</t>
  </si>
  <si>
    <t>M85.4</t>
  </si>
  <si>
    <t>N30.2</t>
  </si>
  <si>
    <t>K52.2</t>
  </si>
  <si>
    <t>M95.4</t>
  </si>
  <si>
    <t>M52.1</t>
  </si>
  <si>
    <t>R04.0</t>
  </si>
  <si>
    <t>T78.4</t>
  </si>
  <si>
    <t>I35.2</t>
  </si>
  <si>
    <t>Q20.3</t>
  </si>
  <si>
    <t>Q23.3</t>
  </si>
  <si>
    <t>N13.0</t>
  </si>
  <si>
    <t>M91.1</t>
  </si>
  <si>
    <t>H53.5</t>
  </si>
  <si>
    <t>G43.0</t>
  </si>
  <si>
    <t>M02.9</t>
  </si>
  <si>
    <t>M23.0</t>
  </si>
  <si>
    <t>I49.4</t>
  </si>
  <si>
    <t>Q21.9</t>
  </si>
  <si>
    <t>Q89.0</t>
  </si>
  <si>
    <t>Q67.8</t>
  </si>
  <si>
    <t>M92.6</t>
  </si>
  <si>
    <t>E73.0</t>
  </si>
  <si>
    <t>K29.3</t>
  </si>
  <si>
    <t>I45.9</t>
  </si>
  <si>
    <t>G45.0</t>
  </si>
  <si>
    <t>E03.9</t>
  </si>
  <si>
    <t>M93.2</t>
  </si>
  <si>
    <t>M13.8</t>
  </si>
  <si>
    <t>M25.5</t>
  </si>
  <si>
    <t>G93.2</t>
  </si>
  <si>
    <t>F80.9</t>
  </si>
  <si>
    <t>K67.8</t>
  </si>
  <si>
    <t>N31.2</t>
  </si>
  <si>
    <t>E10.4</t>
  </si>
  <si>
    <t>E30.8</t>
  </si>
  <si>
    <t>D69.1</t>
  </si>
  <si>
    <t>N28.6</t>
  </si>
  <si>
    <t>E34.5</t>
  </si>
  <si>
    <t>G40.9</t>
  </si>
  <si>
    <t>M08.8</t>
  </si>
  <si>
    <t>B00.0</t>
  </si>
  <si>
    <t>B22.0</t>
  </si>
  <si>
    <t>D16.0</t>
  </si>
  <si>
    <t>D18.0</t>
  </si>
  <si>
    <t>D22.0</t>
  </si>
  <si>
    <t>D34.0</t>
  </si>
  <si>
    <t>D36.0</t>
  </si>
  <si>
    <t>D50.0</t>
  </si>
  <si>
    <t>D68.0</t>
  </si>
  <si>
    <t>E00.0</t>
  </si>
  <si>
    <t>E07.0</t>
  </si>
  <si>
    <t>E32.0</t>
  </si>
  <si>
    <t>E40.0</t>
  </si>
  <si>
    <t>E41.0</t>
  </si>
  <si>
    <t>E44.0</t>
  </si>
  <si>
    <t>E45.0</t>
  </si>
  <si>
    <t>F42.0</t>
  </si>
  <si>
    <t>F48.0</t>
  </si>
  <si>
    <t>F80.0</t>
  </si>
  <si>
    <t>F90.0</t>
  </si>
  <si>
    <t>G60.0</t>
  </si>
  <si>
    <t>G91.0</t>
  </si>
  <si>
    <t>J20.0</t>
  </si>
  <si>
    <t>J45.0</t>
  </si>
  <si>
    <t>H00.0</t>
  </si>
  <si>
    <t>H28.0</t>
  </si>
  <si>
    <t>H34.0</t>
  </si>
  <si>
    <t>H35.0</t>
  </si>
  <si>
    <t>H55.0</t>
  </si>
  <si>
    <t>I37.0</t>
  </si>
  <si>
    <t>I44.0</t>
  </si>
  <si>
    <t>I45.0</t>
  </si>
  <si>
    <t>I47.0</t>
  </si>
  <si>
    <t>I49.0</t>
  </si>
  <si>
    <t>I83.0</t>
  </si>
  <si>
    <t>K29.0</t>
  </si>
  <si>
    <t>K42.0</t>
  </si>
  <si>
    <t>K43.0</t>
  </si>
  <si>
    <t>K59.0</t>
  </si>
  <si>
    <t>K90.0</t>
  </si>
  <si>
    <t>L20.0</t>
  </si>
  <si>
    <t>L21.0</t>
  </si>
  <si>
    <t>L50.0</t>
  </si>
  <si>
    <t>L68.0</t>
  </si>
  <si>
    <t>M41.0</t>
  </si>
  <si>
    <t>M92.0</t>
  </si>
  <si>
    <t>M93.0</t>
  </si>
  <si>
    <t>N05.0</t>
  </si>
  <si>
    <t>N10.0</t>
  </si>
  <si>
    <t>N11.0</t>
  </si>
  <si>
    <t>N39.0</t>
  </si>
  <si>
    <t>N43.0</t>
  </si>
  <si>
    <t>R51.0</t>
  </si>
  <si>
    <t>R55.0</t>
  </si>
  <si>
    <t>Q16.0</t>
  </si>
  <si>
    <t>Q36.0</t>
  </si>
  <si>
    <t>Q54.0</t>
  </si>
  <si>
    <t>Q61.0</t>
  </si>
  <si>
    <t>Q62.0</t>
  </si>
  <si>
    <t>Q63.0</t>
  </si>
  <si>
    <t>Q66.0</t>
  </si>
  <si>
    <t>M40.4 M21.0 F80.0</t>
  </si>
  <si>
    <t>Q20.9 M21.0 E66.0</t>
  </si>
  <si>
    <t>R01.0 I45.0 K29.9 K82.8 J35.3 J30.4 M21.0</t>
  </si>
  <si>
    <t>M21.0 E66.0</t>
  </si>
  <si>
    <t>L20.8 M21.0 K02.0 L50.0</t>
  </si>
  <si>
    <t>H53.0 H52.0 K02.0 F80.0</t>
  </si>
  <si>
    <t>Q20.9 L20.8  L50.0</t>
  </si>
  <si>
    <t>M21.0 N47.0 H52.1 H52.2 I49.5 G90.9 G47.0 J30.1 I44.0</t>
  </si>
  <si>
    <t>L20.9 J30.4 H52.0 L50.0 Q62.0 J20.0</t>
  </si>
  <si>
    <t>H50.1</t>
  </si>
  <si>
    <t>aaaa</t>
  </si>
  <si>
    <t>bbbb</t>
  </si>
  <si>
    <t>dddd</t>
  </si>
  <si>
    <t>eeee</t>
  </si>
  <si>
    <t>ccccc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</si>
</sst>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3" fillId="0" borderId="0"/>
  </cellStyleXfs>
  <cellXfs count="4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14" fontId="7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2" xfId="0" applyFont="1" applyBorder="1"/>
    <xf numFmtId="0" fontId="5" fillId="0" borderId="2" xfId="0" applyFont="1" applyBorder="1"/>
    <xf numFmtId="0" fontId="0" fillId="3" borderId="1" xfId="0" applyFill="1" applyBorder="1"/>
    <xf numFmtId="0" fontId="0" fillId="4" borderId="1" xfId="0" applyFill="1" applyBorder="1"/>
    <xf numFmtId="0" fontId="6" fillId="0" borderId="0" xfId="0" applyFont="1" applyAlignment="1">
      <alignment vertical="center"/>
    </xf>
    <xf numFmtId="17" fontId="10" fillId="0" borderId="1" xfId="0" applyNumberFormat="1" applyFont="1" applyBorder="1" applyAlignment="1">
      <alignment vertical="center" wrapText="1"/>
    </xf>
    <xf numFmtId="17" fontId="0" fillId="0" borderId="1" xfId="0" applyNumberFormat="1" applyBorder="1"/>
    <xf numFmtId="16" fontId="3" fillId="0" borderId="1" xfId="0" applyNumberFormat="1" applyFont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10" fillId="0" borderId="2" xfId="0" applyFont="1" applyBorder="1" applyAlignment="1">
      <alignment vertical="center" wrapText="1"/>
    </xf>
    <xf numFmtId="0" fontId="0" fillId="2" borderId="1" xfId="0" applyFill="1" applyBorder="1"/>
    <xf numFmtId="0" fontId="3" fillId="4" borderId="1" xfId="0" applyFont="1" applyFill="1" applyBorder="1" applyAlignment="1">
      <alignment vertical="center" wrapText="1"/>
    </xf>
    <xf numFmtId="20" fontId="3" fillId="0" borderId="1" xfId="0" applyNumberFormat="1" applyFont="1" applyBorder="1" applyAlignment="1">
      <alignment vertical="center" wrapText="1"/>
    </xf>
    <xf numFmtId="21" fontId="3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0" borderId="1" xfId="0" applyFont="1" applyBorder="1" applyAlignment="1">
      <alignment vertical="center" wrapText="1"/>
    </xf>
    <xf numFmtId="0" fontId="8" fillId="0" borderId="5" xfId="0" applyFont="1" applyBorder="1" applyAlignment="1">
      <alignment horizontal="center" vertical="center"/>
    </xf>
  </cellXfs>
  <cellStyles count="3">
    <cellStyle name="Normal" xfId="0" builtinId="0"/>
    <cellStyle name="Обычный 2" xfId="1" xr:uid="{00000000-0005-0000-0000-000002000000}"/>
    <cellStyle name="Обычный 3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"/>
  <dimension ref="A1:J26"/>
  <sheetViews>
    <sheetView workbookViewId="0">
      <selection activeCell="B100" sqref="B100"/>
    </sheetView>
  </sheetViews>
  <sheetFormatPr defaultRowHeight="15" x14ac:dyDescent="0.25"/>
  <cols>
    <col min="5" max="5" width="19" customWidth="1"/>
    <col min="6" max="6" width="24.28515625" customWidth="1"/>
    <col min="9" max="9" width="32.7109375" customWidth="1"/>
    <col min="10" max="10" width="22.5703125" customWidth="1"/>
  </cols>
  <sheetData>
    <row r="1" spans="1:10" ht="21" x14ac:dyDescent="0.35">
      <c r="A1" s="33" t="s">
        <v>25</v>
      </c>
      <c r="B1" s="33"/>
      <c r="C1" s="33"/>
      <c r="D1" s="33"/>
      <c r="E1" s="33"/>
      <c r="F1" s="33"/>
      <c r="G1" s="33"/>
      <c r="H1" s="33"/>
      <c r="I1" s="33"/>
    </row>
    <row r="2" spans="1:10" x14ac:dyDescent="0.25">
      <c r="A2" s="3" t="s">
        <v>1</v>
      </c>
      <c r="B2" s="34" t="s">
        <v>2</v>
      </c>
      <c r="C2" s="34"/>
      <c r="D2" s="34"/>
      <c r="E2" s="3" t="s">
        <v>0</v>
      </c>
      <c r="F2" s="1" t="s">
        <v>91</v>
      </c>
      <c r="G2" s="3" t="s">
        <v>114</v>
      </c>
      <c r="H2" s="3" t="s">
        <v>115</v>
      </c>
      <c r="I2" s="8" t="s">
        <v>26</v>
      </c>
      <c r="J2" s="3" t="s">
        <v>41</v>
      </c>
    </row>
    <row r="3" spans="1:10" ht="35.25" customHeight="1" x14ac:dyDescent="0.25">
      <c r="A3" s="3">
        <v>1</v>
      </c>
      <c r="B3" s="30" t="s">
        <v>116</v>
      </c>
      <c r="C3" s="31"/>
      <c r="D3" s="32"/>
      <c r="E3" s="12">
        <v>39209</v>
      </c>
      <c r="F3" s="1" t="s">
        <v>119</v>
      </c>
      <c r="G3" s="3"/>
      <c r="H3" s="3"/>
      <c r="I3" s="8" t="s">
        <v>120</v>
      </c>
      <c r="J3" s="3" t="s">
        <v>121</v>
      </c>
    </row>
    <row r="4" spans="1:10" ht="50.25" customHeight="1" x14ac:dyDescent="0.25">
      <c r="A4" s="6">
        <v>1</v>
      </c>
      <c r="B4" s="29" t="s">
        <v>4</v>
      </c>
      <c r="C4" s="29"/>
      <c r="D4" s="29"/>
      <c r="E4" s="10">
        <v>39122</v>
      </c>
      <c r="F4" s="11" t="s">
        <v>92</v>
      </c>
      <c r="G4" s="8">
        <v>165.5</v>
      </c>
      <c r="H4" s="3">
        <v>58.3</v>
      </c>
      <c r="I4" s="8" t="s">
        <v>62</v>
      </c>
      <c r="J4" s="1" t="s">
        <v>79</v>
      </c>
    </row>
    <row r="5" spans="1:10" ht="30" x14ac:dyDescent="0.25">
      <c r="A5" s="6">
        <v>2</v>
      </c>
      <c r="B5" s="29" t="s">
        <v>5</v>
      </c>
      <c r="C5" s="29"/>
      <c r="D5" s="29"/>
      <c r="E5" s="10">
        <v>39184</v>
      </c>
      <c r="F5" s="11" t="s">
        <v>93</v>
      </c>
      <c r="G5" s="8">
        <v>182.5</v>
      </c>
      <c r="H5" s="3">
        <v>68</v>
      </c>
      <c r="I5" s="1" t="s">
        <v>29</v>
      </c>
      <c r="J5" s="1" t="s">
        <v>39</v>
      </c>
    </row>
    <row r="6" spans="1:10" ht="43.5" customHeight="1" x14ac:dyDescent="0.25">
      <c r="A6" s="6">
        <v>3</v>
      </c>
      <c r="B6" s="29" t="s">
        <v>6</v>
      </c>
      <c r="C6" s="29"/>
      <c r="D6" s="29"/>
      <c r="E6" s="10">
        <v>39241</v>
      </c>
      <c r="F6" s="11" t="s">
        <v>94</v>
      </c>
      <c r="G6" s="8">
        <v>174.5</v>
      </c>
      <c r="H6" s="3">
        <v>35.299999999999997</v>
      </c>
      <c r="I6" s="8" t="s">
        <v>29</v>
      </c>
      <c r="J6" s="1" t="s">
        <v>39</v>
      </c>
    </row>
    <row r="7" spans="1:10" ht="47.25" customHeight="1" x14ac:dyDescent="0.25">
      <c r="A7" s="6">
        <v>4</v>
      </c>
      <c r="B7" s="29" t="s">
        <v>7</v>
      </c>
      <c r="C7" s="29"/>
      <c r="D7" s="29"/>
      <c r="E7" s="10">
        <v>39176</v>
      </c>
      <c r="F7" s="11" t="s">
        <v>95</v>
      </c>
      <c r="G7" s="8">
        <v>153.5</v>
      </c>
      <c r="H7" s="3">
        <v>41.7</v>
      </c>
      <c r="I7" s="8" t="s">
        <v>30</v>
      </c>
      <c r="J7" s="1" t="s">
        <v>39</v>
      </c>
    </row>
    <row r="8" spans="1:10" ht="45.75" customHeight="1" x14ac:dyDescent="0.25">
      <c r="A8" s="6">
        <v>5</v>
      </c>
      <c r="B8" s="29" t="s">
        <v>8</v>
      </c>
      <c r="C8" s="29"/>
      <c r="D8" s="29"/>
      <c r="E8" s="10">
        <v>39377</v>
      </c>
      <c r="F8" s="11" t="s">
        <v>96</v>
      </c>
      <c r="G8" s="8">
        <v>183.5</v>
      </c>
      <c r="H8" s="3">
        <v>59.8</v>
      </c>
      <c r="I8" s="8" t="s">
        <v>63</v>
      </c>
      <c r="J8" s="1" t="s">
        <v>80</v>
      </c>
    </row>
    <row r="9" spans="1:10" ht="33.75" customHeight="1" x14ac:dyDescent="0.25">
      <c r="A9" s="6">
        <v>6</v>
      </c>
      <c r="B9" s="29" t="s">
        <v>9</v>
      </c>
      <c r="C9" s="29"/>
      <c r="D9" s="29"/>
      <c r="E9" s="10">
        <v>39445</v>
      </c>
      <c r="F9" s="11" t="s">
        <v>97</v>
      </c>
      <c r="G9" s="8">
        <v>173.5</v>
      </c>
      <c r="H9" s="3">
        <v>55</v>
      </c>
      <c r="I9" s="9" t="s">
        <v>64</v>
      </c>
      <c r="J9" s="4" t="s">
        <v>81</v>
      </c>
    </row>
    <row r="10" spans="1:10" ht="30" x14ac:dyDescent="0.25">
      <c r="A10" s="6">
        <v>7</v>
      </c>
      <c r="B10" s="29" t="s">
        <v>10</v>
      </c>
      <c r="C10" s="29"/>
      <c r="D10" s="29"/>
      <c r="E10" s="10">
        <v>39202</v>
      </c>
      <c r="F10" s="11" t="s">
        <v>98</v>
      </c>
      <c r="G10" s="8">
        <v>155.5</v>
      </c>
      <c r="H10" s="3">
        <v>53.6</v>
      </c>
      <c r="I10" s="8" t="s">
        <v>65</v>
      </c>
      <c r="J10" s="1" t="s">
        <v>49</v>
      </c>
    </row>
    <row r="11" spans="1:10" ht="30" x14ac:dyDescent="0.25">
      <c r="A11" s="6">
        <v>8</v>
      </c>
      <c r="B11" s="29" t="s">
        <v>117</v>
      </c>
      <c r="C11" s="29"/>
      <c r="D11" s="29"/>
      <c r="E11" s="10">
        <v>39317</v>
      </c>
      <c r="F11" s="11" t="s">
        <v>99</v>
      </c>
      <c r="G11" s="8">
        <v>167.5</v>
      </c>
      <c r="H11" s="3">
        <v>66.8</v>
      </c>
      <c r="I11" s="8" t="s">
        <v>66</v>
      </c>
      <c r="J11" s="1" t="s">
        <v>82</v>
      </c>
    </row>
    <row r="12" spans="1:10" ht="30" x14ac:dyDescent="0.25">
      <c r="A12" s="6">
        <v>9</v>
      </c>
      <c r="B12" s="29" t="s">
        <v>11</v>
      </c>
      <c r="C12" s="29"/>
      <c r="D12" s="29"/>
      <c r="E12" s="10">
        <v>39113</v>
      </c>
      <c r="F12" s="11" t="s">
        <v>100</v>
      </c>
      <c r="G12" s="1">
        <v>163.5</v>
      </c>
      <c r="H12" s="3">
        <v>61.7</v>
      </c>
      <c r="I12" s="1"/>
      <c r="J12" s="1"/>
    </row>
    <row r="13" spans="1:10" ht="34.5" customHeight="1" x14ac:dyDescent="0.25">
      <c r="A13" s="6">
        <v>10</v>
      </c>
      <c r="B13" s="29" t="s">
        <v>12</v>
      </c>
      <c r="C13" s="29"/>
      <c r="D13" s="29"/>
      <c r="E13" s="10">
        <v>39120</v>
      </c>
      <c r="F13" s="11" t="s">
        <v>101</v>
      </c>
      <c r="G13" s="8">
        <v>164</v>
      </c>
      <c r="H13" s="3">
        <v>48.8</v>
      </c>
      <c r="I13" s="8" t="s">
        <v>67</v>
      </c>
      <c r="J13" s="1" t="s">
        <v>40</v>
      </c>
    </row>
    <row r="14" spans="1:10" ht="30" x14ac:dyDescent="0.25">
      <c r="A14" s="6">
        <v>11</v>
      </c>
      <c r="B14" s="29" t="s">
        <v>13</v>
      </c>
      <c r="C14" s="29"/>
      <c r="D14" s="29"/>
      <c r="E14" s="10">
        <v>39372</v>
      </c>
      <c r="F14" s="11" t="s">
        <v>102</v>
      </c>
      <c r="G14" s="8">
        <v>167</v>
      </c>
      <c r="H14" s="3">
        <v>61.8</v>
      </c>
      <c r="I14" s="1" t="s">
        <v>68</v>
      </c>
      <c r="J14" s="1" t="s">
        <v>56</v>
      </c>
    </row>
    <row r="15" spans="1:10" ht="30" x14ac:dyDescent="0.25">
      <c r="A15" s="6">
        <v>12</v>
      </c>
      <c r="B15" s="29" t="s">
        <v>14</v>
      </c>
      <c r="C15" s="29"/>
      <c r="D15" s="29"/>
      <c r="E15" s="10">
        <v>39427</v>
      </c>
      <c r="F15" s="11" t="s">
        <v>103</v>
      </c>
      <c r="G15" s="8">
        <v>167.5</v>
      </c>
      <c r="H15" s="3">
        <v>55.8</v>
      </c>
      <c r="I15" s="8" t="s">
        <v>69</v>
      </c>
      <c r="J15" s="1" t="s">
        <v>58</v>
      </c>
    </row>
    <row r="16" spans="1:10" ht="30" x14ac:dyDescent="0.25">
      <c r="A16" s="6">
        <v>13</v>
      </c>
      <c r="B16" s="29" t="s">
        <v>15</v>
      </c>
      <c r="C16" s="29"/>
      <c r="D16" s="29"/>
      <c r="E16" s="10">
        <v>39216</v>
      </c>
      <c r="F16" s="11" t="s">
        <v>104</v>
      </c>
      <c r="G16" s="8">
        <v>169.5</v>
      </c>
      <c r="H16" s="3">
        <v>58.4</v>
      </c>
      <c r="I16" s="8" t="s">
        <v>70</v>
      </c>
      <c r="J16" s="1" t="s">
        <v>38</v>
      </c>
    </row>
    <row r="17" spans="1:10" ht="30" x14ac:dyDescent="0.25">
      <c r="A17" s="6">
        <v>14</v>
      </c>
      <c r="B17" s="29" t="s">
        <v>16</v>
      </c>
      <c r="C17" s="29"/>
      <c r="D17" s="29"/>
      <c r="E17" s="10">
        <v>39344</v>
      </c>
      <c r="F17" s="11" t="s">
        <v>105</v>
      </c>
      <c r="G17" s="8"/>
      <c r="H17" s="3"/>
      <c r="I17" s="8" t="s">
        <v>54</v>
      </c>
      <c r="J17" s="1" t="s">
        <v>43</v>
      </c>
    </row>
    <row r="18" spans="1:10" ht="30" x14ac:dyDescent="0.25">
      <c r="A18" s="6">
        <v>15</v>
      </c>
      <c r="B18" s="29" t="s">
        <v>17</v>
      </c>
      <c r="C18" s="29"/>
      <c r="D18" s="29"/>
      <c r="E18" s="10"/>
      <c r="F18" s="11" t="s">
        <v>106</v>
      </c>
      <c r="G18" s="8">
        <v>166</v>
      </c>
      <c r="H18" s="3">
        <v>49</v>
      </c>
      <c r="I18" s="9" t="s">
        <v>71</v>
      </c>
      <c r="J18" s="1" t="s">
        <v>83</v>
      </c>
    </row>
    <row r="19" spans="1:10" ht="30" x14ac:dyDescent="0.25">
      <c r="A19" s="6">
        <v>16</v>
      </c>
      <c r="B19" s="29" t="s">
        <v>19</v>
      </c>
      <c r="C19" s="29"/>
      <c r="D19" s="29"/>
      <c r="E19" s="10">
        <v>39324</v>
      </c>
      <c r="F19" s="11" t="s">
        <v>107</v>
      </c>
      <c r="G19" s="8">
        <v>161.5</v>
      </c>
      <c r="H19" s="3">
        <v>57.4</v>
      </c>
      <c r="I19" s="9" t="s">
        <v>72</v>
      </c>
      <c r="J19" s="4" t="s">
        <v>84</v>
      </c>
    </row>
    <row r="20" spans="1:10" ht="45" x14ac:dyDescent="0.25">
      <c r="A20" s="6">
        <v>17</v>
      </c>
      <c r="B20" s="29" t="s">
        <v>18</v>
      </c>
      <c r="C20" s="29"/>
      <c r="D20" s="29"/>
      <c r="E20" s="10">
        <v>39457</v>
      </c>
      <c r="F20" s="11" t="s">
        <v>108</v>
      </c>
      <c r="G20" s="8">
        <v>158.5</v>
      </c>
      <c r="H20" s="3">
        <v>47.3</v>
      </c>
      <c r="I20" s="9" t="s">
        <v>73</v>
      </c>
      <c r="J20" s="1" t="s">
        <v>85</v>
      </c>
    </row>
    <row r="21" spans="1:10" ht="75" x14ac:dyDescent="0.25">
      <c r="A21" s="6">
        <v>18</v>
      </c>
      <c r="B21" s="29" t="s">
        <v>20</v>
      </c>
      <c r="C21" s="29"/>
      <c r="D21" s="29"/>
      <c r="E21" s="10">
        <v>39210</v>
      </c>
      <c r="F21" s="11" t="s">
        <v>109</v>
      </c>
      <c r="G21" s="8">
        <v>159.5</v>
      </c>
      <c r="H21" s="3">
        <v>48.5</v>
      </c>
      <c r="I21" s="9" t="s">
        <v>74</v>
      </c>
      <c r="J21" s="4" t="s">
        <v>86</v>
      </c>
    </row>
    <row r="22" spans="1:10" ht="30" x14ac:dyDescent="0.25">
      <c r="A22" s="6">
        <v>19</v>
      </c>
      <c r="B22" s="29" t="s">
        <v>21</v>
      </c>
      <c r="C22" s="29"/>
      <c r="D22" s="29"/>
      <c r="E22" s="10">
        <v>39136</v>
      </c>
      <c r="F22" s="11" t="s">
        <v>110</v>
      </c>
      <c r="G22" s="8">
        <v>171</v>
      </c>
      <c r="H22" s="3">
        <v>56</v>
      </c>
      <c r="I22" s="9" t="s">
        <v>75</v>
      </c>
      <c r="J22" s="1" t="s">
        <v>87</v>
      </c>
    </row>
    <row r="23" spans="1:10" ht="49.5" customHeight="1" x14ac:dyDescent="0.25">
      <c r="A23" s="6">
        <v>20</v>
      </c>
      <c r="B23" s="29" t="s">
        <v>22</v>
      </c>
      <c r="C23" s="29"/>
      <c r="D23" s="29"/>
      <c r="E23" s="10">
        <v>39074</v>
      </c>
      <c r="F23" s="11" t="s">
        <v>111</v>
      </c>
      <c r="G23" s="8">
        <v>178.5</v>
      </c>
      <c r="H23" s="3">
        <v>53</v>
      </c>
      <c r="I23" s="9" t="s">
        <v>76</v>
      </c>
      <c r="J23" s="4" t="s">
        <v>88</v>
      </c>
    </row>
    <row r="24" spans="1:10" ht="39.75" customHeight="1" x14ac:dyDescent="0.25">
      <c r="A24" s="6">
        <v>21</v>
      </c>
      <c r="B24" s="29" t="s">
        <v>23</v>
      </c>
      <c r="C24" s="29"/>
      <c r="D24" s="29"/>
      <c r="E24" s="10">
        <v>39143</v>
      </c>
      <c r="F24" s="11" t="s">
        <v>112</v>
      </c>
      <c r="G24" s="8">
        <v>173</v>
      </c>
      <c r="H24" s="3">
        <v>52</v>
      </c>
      <c r="I24" s="9" t="s">
        <v>77</v>
      </c>
      <c r="J24" s="1" t="s">
        <v>79</v>
      </c>
    </row>
    <row r="25" spans="1:10" ht="36.75" customHeight="1" x14ac:dyDescent="0.25">
      <c r="A25" s="6">
        <v>22</v>
      </c>
      <c r="B25" s="29" t="s">
        <v>24</v>
      </c>
      <c r="C25" s="29"/>
      <c r="D25" s="29"/>
      <c r="E25" s="10">
        <v>39080</v>
      </c>
      <c r="F25" s="11" t="s">
        <v>113</v>
      </c>
      <c r="G25" s="8"/>
      <c r="H25" s="3"/>
      <c r="I25" s="9" t="s">
        <v>78</v>
      </c>
      <c r="J25" s="4" t="s">
        <v>89</v>
      </c>
    </row>
    <row r="26" spans="1:10" ht="36.75" customHeight="1" x14ac:dyDescent="0.25">
      <c r="A26" s="6"/>
      <c r="B26" s="29" t="s">
        <v>118</v>
      </c>
      <c r="C26" s="29"/>
      <c r="D26" s="29"/>
      <c r="E26" s="10">
        <v>39333</v>
      </c>
      <c r="F26" s="11" t="s">
        <v>122</v>
      </c>
      <c r="G26" s="8">
        <v>179.5</v>
      </c>
      <c r="H26" s="3">
        <v>82.6</v>
      </c>
      <c r="I26" s="9" t="s">
        <v>123</v>
      </c>
      <c r="J26" s="4" t="s">
        <v>124</v>
      </c>
    </row>
  </sheetData>
  <mergeCells count="26">
    <mergeCell ref="A1:I1"/>
    <mergeCell ref="B2:D2"/>
    <mergeCell ref="B4:D4"/>
    <mergeCell ref="B5:D5"/>
    <mergeCell ref="B6:D6"/>
    <mergeCell ref="B7:D7"/>
    <mergeCell ref="B3:D3"/>
    <mergeCell ref="B8:D8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6:D26"/>
    <mergeCell ref="B20:D20"/>
    <mergeCell ref="B21:D21"/>
    <mergeCell ref="B22:D22"/>
    <mergeCell ref="B23:D23"/>
    <mergeCell ref="B24:D24"/>
    <mergeCell ref="B25:D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"/>
  <dimension ref="A1:O37"/>
  <sheetViews>
    <sheetView workbookViewId="0">
      <selection activeCell="B100" sqref="B100"/>
    </sheetView>
  </sheetViews>
  <sheetFormatPr defaultRowHeight="15" x14ac:dyDescent="0.25"/>
  <cols>
    <col min="5" max="5" width="17.140625" customWidth="1"/>
    <col min="6" max="6" width="20.5703125" customWidth="1"/>
    <col min="9" max="9" width="12.28515625" customWidth="1"/>
    <col min="10" max="10" width="12.42578125" customWidth="1"/>
    <col min="14" max="14" width="15" customWidth="1"/>
    <col min="15" max="15" width="21" customWidth="1"/>
    <col min="16" max="16" width="17.85546875" customWidth="1"/>
  </cols>
  <sheetData>
    <row r="1" spans="1:15" ht="21" x14ac:dyDescent="0.35">
      <c r="A1" s="33" t="s">
        <v>25</v>
      </c>
      <c r="B1" s="33"/>
      <c r="C1" s="33"/>
      <c r="D1" s="33"/>
      <c r="E1" s="33"/>
      <c r="F1" s="33"/>
      <c r="G1" s="33"/>
      <c r="H1" s="33"/>
      <c r="I1" s="33"/>
    </row>
    <row r="2" spans="1:15" x14ac:dyDescent="0.25">
      <c r="A2" s="3" t="s">
        <v>1</v>
      </c>
      <c r="B2" s="34" t="s">
        <v>2</v>
      </c>
      <c r="C2" s="34"/>
      <c r="D2" s="34"/>
      <c r="E2" s="3" t="s">
        <v>0</v>
      </c>
      <c r="F2" s="1" t="s">
        <v>91</v>
      </c>
      <c r="G2" s="3" t="s">
        <v>114</v>
      </c>
      <c r="H2" s="3" t="s">
        <v>115</v>
      </c>
      <c r="I2" s="3" t="s">
        <v>125</v>
      </c>
      <c r="J2" s="3" t="s">
        <v>126</v>
      </c>
      <c r="K2" s="3" t="s">
        <v>127</v>
      </c>
      <c r="L2" s="3" t="s">
        <v>128</v>
      </c>
      <c r="M2" s="3" t="s">
        <v>3</v>
      </c>
      <c r="N2" s="3" t="s">
        <v>129</v>
      </c>
    </row>
    <row r="3" spans="1:15" ht="30" x14ac:dyDescent="0.25">
      <c r="A3" s="6">
        <v>1</v>
      </c>
      <c r="B3" s="29" t="s">
        <v>4</v>
      </c>
      <c r="C3" s="29"/>
      <c r="D3" s="29"/>
      <c r="E3" s="10">
        <v>39122</v>
      </c>
      <c r="F3" s="11" t="s">
        <v>92</v>
      </c>
      <c r="G3" s="8">
        <v>165.5</v>
      </c>
      <c r="H3" s="3">
        <v>58.3</v>
      </c>
      <c r="I3" s="1" t="s">
        <v>79</v>
      </c>
      <c r="J3" s="4" t="s">
        <v>130</v>
      </c>
      <c r="K3" s="1" t="s">
        <v>34</v>
      </c>
      <c r="L3" s="1" t="s">
        <v>34</v>
      </c>
      <c r="M3" s="1" t="s">
        <v>33</v>
      </c>
      <c r="N3" s="1" t="s">
        <v>131</v>
      </c>
    </row>
    <row r="4" spans="1:15" ht="33" customHeight="1" x14ac:dyDescent="0.25">
      <c r="A4" s="6">
        <v>2</v>
      </c>
      <c r="B4" s="29" t="s">
        <v>16</v>
      </c>
      <c r="C4" s="29"/>
      <c r="D4" s="29"/>
      <c r="E4" s="10">
        <v>39344</v>
      </c>
      <c r="F4" s="11" t="s">
        <v>105</v>
      </c>
      <c r="G4" s="8"/>
      <c r="H4" s="3"/>
      <c r="I4" s="1" t="s">
        <v>43</v>
      </c>
      <c r="J4" s="1" t="s">
        <v>43</v>
      </c>
      <c r="K4" s="1" t="s">
        <v>34</v>
      </c>
      <c r="L4" s="1" t="s">
        <v>34</v>
      </c>
      <c r="M4" s="1" t="s">
        <v>33</v>
      </c>
      <c r="N4" s="1" t="s">
        <v>131</v>
      </c>
    </row>
    <row r="5" spans="1:15" ht="31.5" customHeight="1" x14ac:dyDescent="0.25">
      <c r="A5" s="6">
        <v>3</v>
      </c>
      <c r="B5" s="29" t="s">
        <v>17</v>
      </c>
      <c r="C5" s="29"/>
      <c r="D5" s="29"/>
      <c r="E5" s="10"/>
      <c r="F5" s="11" t="s">
        <v>106</v>
      </c>
      <c r="G5" s="8">
        <v>166</v>
      </c>
      <c r="H5" s="3">
        <v>49</v>
      </c>
      <c r="I5" s="1" t="s">
        <v>83</v>
      </c>
      <c r="J5" s="1" t="s">
        <v>83</v>
      </c>
      <c r="K5" s="1" t="s">
        <v>32</v>
      </c>
      <c r="L5" s="1" t="s">
        <v>32</v>
      </c>
      <c r="M5" s="1" t="s">
        <v>31</v>
      </c>
      <c r="N5" s="1" t="s">
        <v>132</v>
      </c>
    </row>
    <row r="6" spans="1:15" ht="45" x14ac:dyDescent="0.25">
      <c r="A6" s="6">
        <v>4</v>
      </c>
      <c r="B6" s="29" t="s">
        <v>19</v>
      </c>
      <c r="C6" s="29"/>
      <c r="D6" s="29"/>
      <c r="E6" s="10">
        <v>39324</v>
      </c>
      <c r="F6" s="11" t="s">
        <v>107</v>
      </c>
      <c r="G6" s="8">
        <v>161.5</v>
      </c>
      <c r="H6" s="3">
        <v>57.4</v>
      </c>
      <c r="I6" s="4" t="s">
        <v>84</v>
      </c>
      <c r="J6" s="4" t="s">
        <v>84</v>
      </c>
      <c r="K6" s="1" t="s">
        <v>32</v>
      </c>
      <c r="L6" s="1" t="s">
        <v>32</v>
      </c>
      <c r="M6" s="1" t="s">
        <v>31</v>
      </c>
      <c r="N6" s="1" t="s">
        <v>133</v>
      </c>
    </row>
    <row r="7" spans="1:15" ht="30" x14ac:dyDescent="0.25">
      <c r="A7" s="6">
        <v>5</v>
      </c>
      <c r="B7" s="29" t="s">
        <v>18</v>
      </c>
      <c r="C7" s="29"/>
      <c r="D7" s="29"/>
      <c r="E7" s="10">
        <v>39457</v>
      </c>
      <c r="F7" s="11" t="s">
        <v>108</v>
      </c>
      <c r="G7" s="8">
        <v>158.5</v>
      </c>
      <c r="H7" s="3">
        <v>47.3</v>
      </c>
      <c r="I7" s="1" t="s">
        <v>85</v>
      </c>
      <c r="J7" s="1" t="s">
        <v>85</v>
      </c>
      <c r="K7" s="1" t="s">
        <v>32</v>
      </c>
      <c r="L7" s="1" t="s">
        <v>32</v>
      </c>
      <c r="M7" s="1" t="s">
        <v>31</v>
      </c>
      <c r="N7" s="1" t="s">
        <v>134</v>
      </c>
    </row>
    <row r="8" spans="1:15" ht="45" x14ac:dyDescent="0.25">
      <c r="A8" s="6">
        <v>6</v>
      </c>
      <c r="B8" s="29" t="s">
        <v>20</v>
      </c>
      <c r="C8" s="29"/>
      <c r="D8" s="29"/>
      <c r="E8" s="10">
        <v>39210</v>
      </c>
      <c r="F8" s="11" t="s">
        <v>109</v>
      </c>
      <c r="G8" s="8">
        <v>159.5</v>
      </c>
      <c r="H8" s="3">
        <v>48.5</v>
      </c>
      <c r="I8" s="4" t="s">
        <v>86</v>
      </c>
      <c r="J8" s="4" t="s">
        <v>86</v>
      </c>
      <c r="K8" s="1" t="s">
        <v>32</v>
      </c>
      <c r="L8" s="1" t="s">
        <v>32</v>
      </c>
      <c r="M8" s="1" t="s">
        <v>31</v>
      </c>
      <c r="N8" s="1" t="s">
        <v>135</v>
      </c>
    </row>
    <row r="9" spans="1:15" ht="30" customHeight="1" x14ac:dyDescent="0.25">
      <c r="A9" s="6">
        <v>7</v>
      </c>
      <c r="B9" s="29" t="s">
        <v>22</v>
      </c>
      <c r="C9" s="29"/>
      <c r="D9" s="29"/>
      <c r="E9" s="10">
        <v>39074</v>
      </c>
      <c r="F9" s="11" t="s">
        <v>111</v>
      </c>
      <c r="G9" s="8">
        <v>178.5</v>
      </c>
      <c r="H9" s="3">
        <v>53</v>
      </c>
      <c r="I9" s="4" t="s">
        <v>88</v>
      </c>
      <c r="J9" s="4" t="s">
        <v>88</v>
      </c>
      <c r="K9" s="1" t="s">
        <v>34</v>
      </c>
      <c r="L9" s="1" t="s">
        <v>34</v>
      </c>
      <c r="M9" s="1" t="s">
        <v>31</v>
      </c>
      <c r="N9" s="1" t="s">
        <v>131</v>
      </c>
    </row>
    <row r="10" spans="1:15" ht="30" customHeight="1" x14ac:dyDescent="0.25">
      <c r="A10" s="6">
        <v>8</v>
      </c>
      <c r="B10" s="29" t="s">
        <v>24</v>
      </c>
      <c r="C10" s="29"/>
      <c r="D10" s="29"/>
      <c r="E10" s="10">
        <v>39080</v>
      </c>
      <c r="F10" s="11" t="s">
        <v>113</v>
      </c>
      <c r="G10" s="8"/>
      <c r="H10" s="3"/>
      <c r="I10" s="4" t="s">
        <v>89</v>
      </c>
      <c r="J10" s="4" t="s">
        <v>89</v>
      </c>
      <c r="K10" s="1" t="s">
        <v>34</v>
      </c>
      <c r="L10" s="1" t="s">
        <v>34</v>
      </c>
      <c r="M10" s="1" t="s">
        <v>33</v>
      </c>
      <c r="N10" s="1" t="s">
        <v>131</v>
      </c>
    </row>
    <row r="11" spans="1:15" ht="30" x14ac:dyDescent="0.25">
      <c r="A11" s="6">
        <v>9</v>
      </c>
      <c r="B11" s="29" t="s">
        <v>118</v>
      </c>
      <c r="C11" s="29"/>
      <c r="D11" s="29"/>
      <c r="E11" s="10">
        <v>39333</v>
      </c>
      <c r="F11" s="11" t="s">
        <v>122</v>
      </c>
      <c r="G11" s="8">
        <v>179.5</v>
      </c>
      <c r="H11" s="3">
        <v>82.6</v>
      </c>
      <c r="I11" s="4" t="s">
        <v>124</v>
      </c>
      <c r="J11" s="4" t="s">
        <v>124</v>
      </c>
      <c r="K11" s="1" t="s">
        <v>34</v>
      </c>
      <c r="L11" s="1" t="s">
        <v>34</v>
      </c>
      <c r="M11" s="1" t="s">
        <v>33</v>
      </c>
      <c r="N11" s="1" t="s">
        <v>131</v>
      </c>
    </row>
    <row r="13" spans="1:15" ht="30" x14ac:dyDescent="0.25">
      <c r="A13" s="3" t="s">
        <v>1</v>
      </c>
      <c r="B13" s="34" t="s">
        <v>2</v>
      </c>
      <c r="C13" s="34"/>
      <c r="D13" s="34"/>
      <c r="E13" s="3" t="s">
        <v>0</v>
      </c>
      <c r="F13" s="1" t="s">
        <v>91</v>
      </c>
      <c r="G13" s="3" t="s">
        <v>114</v>
      </c>
      <c r="H13" s="3" t="s">
        <v>115</v>
      </c>
      <c r="I13" s="3" t="s">
        <v>125</v>
      </c>
      <c r="J13" s="4" t="s">
        <v>126</v>
      </c>
      <c r="K13" s="3" t="s">
        <v>127</v>
      </c>
      <c r="L13" s="3" t="s">
        <v>128</v>
      </c>
      <c r="M13" s="3" t="s">
        <v>3</v>
      </c>
      <c r="N13" s="5" t="s">
        <v>129</v>
      </c>
      <c r="O13" s="3" t="s">
        <v>136</v>
      </c>
    </row>
    <row r="14" spans="1:15" ht="30.6" customHeight="1" x14ac:dyDescent="0.25">
      <c r="A14" s="3">
        <v>1</v>
      </c>
      <c r="B14" s="30" t="s">
        <v>116</v>
      </c>
      <c r="C14" s="31"/>
      <c r="D14" s="32"/>
      <c r="E14" s="12">
        <v>39209</v>
      </c>
      <c r="F14" s="1" t="s">
        <v>119</v>
      </c>
      <c r="G14" s="3"/>
      <c r="H14" s="3"/>
      <c r="I14" s="3"/>
      <c r="J14" s="1"/>
      <c r="K14" s="3" t="s">
        <v>34</v>
      </c>
      <c r="L14" s="3" t="s">
        <v>34</v>
      </c>
      <c r="M14" s="3" t="s">
        <v>33</v>
      </c>
      <c r="N14" s="1" t="s">
        <v>131</v>
      </c>
      <c r="O14" s="1"/>
    </row>
    <row r="15" spans="1:15" ht="30" x14ac:dyDescent="0.25">
      <c r="A15" s="5">
        <v>2</v>
      </c>
      <c r="B15" s="35" t="s">
        <v>4</v>
      </c>
      <c r="C15" s="35"/>
      <c r="D15" s="35"/>
      <c r="E15" s="13">
        <v>39122</v>
      </c>
      <c r="F15" s="14" t="s">
        <v>92</v>
      </c>
      <c r="G15" s="8">
        <v>165.5</v>
      </c>
      <c r="H15" s="3">
        <v>58.3</v>
      </c>
      <c r="I15" s="1"/>
      <c r="J15" s="1"/>
      <c r="K15" s="3" t="s">
        <v>34</v>
      </c>
      <c r="L15" s="3" t="s">
        <v>34</v>
      </c>
      <c r="M15" s="7" t="s">
        <v>33</v>
      </c>
      <c r="N15" s="1" t="s">
        <v>131</v>
      </c>
      <c r="O15" s="1"/>
    </row>
    <row r="16" spans="1:15" ht="30" x14ac:dyDescent="0.25">
      <c r="A16" s="5">
        <v>3</v>
      </c>
      <c r="B16" s="35" t="s">
        <v>5</v>
      </c>
      <c r="C16" s="35"/>
      <c r="D16" s="35"/>
      <c r="E16" s="13">
        <v>39184</v>
      </c>
      <c r="F16" s="14" t="s">
        <v>93</v>
      </c>
      <c r="G16" s="8">
        <v>182.5</v>
      </c>
      <c r="H16" s="3">
        <v>68</v>
      </c>
      <c r="I16" s="1"/>
      <c r="J16" s="1"/>
      <c r="K16" s="3" t="s">
        <v>35</v>
      </c>
      <c r="L16" s="3" t="s">
        <v>35</v>
      </c>
      <c r="M16" s="7" t="s">
        <v>33</v>
      </c>
      <c r="N16" s="1" t="s">
        <v>131</v>
      </c>
      <c r="O16" s="1"/>
    </row>
    <row r="17" spans="1:15" ht="30" x14ac:dyDescent="0.25">
      <c r="A17" s="5">
        <v>4</v>
      </c>
      <c r="B17" s="35" t="s">
        <v>6</v>
      </c>
      <c r="C17" s="35"/>
      <c r="D17" s="35"/>
      <c r="E17" s="13">
        <v>39241</v>
      </c>
      <c r="F17" s="14" t="s">
        <v>94</v>
      </c>
      <c r="G17" s="8">
        <v>174.5</v>
      </c>
      <c r="H17" s="3">
        <v>35.299999999999997</v>
      </c>
      <c r="I17" s="1"/>
      <c r="J17" s="1"/>
      <c r="K17" s="3" t="s">
        <v>35</v>
      </c>
      <c r="L17" s="3" t="s">
        <v>35</v>
      </c>
      <c r="M17" s="7" t="s">
        <v>33</v>
      </c>
      <c r="N17" s="1" t="s">
        <v>131</v>
      </c>
      <c r="O17" s="1"/>
    </row>
    <row r="18" spans="1:15" ht="28.9" customHeight="1" x14ac:dyDescent="0.25">
      <c r="A18" s="5">
        <v>5</v>
      </c>
      <c r="B18" s="35" t="s">
        <v>7</v>
      </c>
      <c r="C18" s="35"/>
      <c r="D18" s="35"/>
      <c r="E18" s="13">
        <v>39176</v>
      </c>
      <c r="F18" s="14" t="s">
        <v>95</v>
      </c>
      <c r="G18" s="8">
        <v>153.5</v>
      </c>
      <c r="H18" s="3">
        <v>41.7</v>
      </c>
      <c r="I18" s="1"/>
      <c r="J18" s="1"/>
      <c r="K18" s="3" t="s">
        <v>35</v>
      </c>
      <c r="L18" s="3"/>
      <c r="M18" s="7" t="s">
        <v>33</v>
      </c>
      <c r="N18" s="36" t="s">
        <v>139</v>
      </c>
      <c r="O18" s="37"/>
    </row>
    <row r="19" spans="1:15" ht="35.450000000000003" customHeight="1" x14ac:dyDescent="0.25">
      <c r="A19" s="5">
        <v>6</v>
      </c>
      <c r="B19" s="35" t="s">
        <v>8</v>
      </c>
      <c r="C19" s="35"/>
      <c r="D19" s="35"/>
      <c r="E19" s="13">
        <v>39377</v>
      </c>
      <c r="F19" s="14" t="s">
        <v>96</v>
      </c>
      <c r="G19" s="8">
        <v>183.5</v>
      </c>
      <c r="H19" s="3">
        <v>59.8</v>
      </c>
      <c r="I19" s="1"/>
      <c r="J19" s="1"/>
      <c r="K19" s="3" t="s">
        <v>34</v>
      </c>
      <c r="L19" s="3" t="s">
        <v>34</v>
      </c>
      <c r="M19" s="7" t="s">
        <v>33</v>
      </c>
      <c r="N19" s="1" t="s">
        <v>137</v>
      </c>
      <c r="O19" s="1"/>
    </row>
    <row r="20" spans="1:15" ht="30" x14ac:dyDescent="0.25">
      <c r="A20" s="5">
        <v>7</v>
      </c>
      <c r="B20" s="35" t="s">
        <v>9</v>
      </c>
      <c r="C20" s="35"/>
      <c r="D20" s="35"/>
      <c r="E20" s="13">
        <v>39445</v>
      </c>
      <c r="F20" s="14" t="s">
        <v>97</v>
      </c>
      <c r="G20" s="8">
        <v>173.5</v>
      </c>
      <c r="H20" s="3">
        <v>55</v>
      </c>
      <c r="I20" s="4"/>
      <c r="J20" s="1"/>
      <c r="K20" s="3" t="s">
        <v>34</v>
      </c>
      <c r="L20" s="3" t="s">
        <v>34</v>
      </c>
      <c r="M20" s="7" t="s">
        <v>33</v>
      </c>
      <c r="N20" s="1" t="s">
        <v>131</v>
      </c>
      <c r="O20" s="1"/>
    </row>
    <row r="21" spans="1:15" ht="30" x14ac:dyDescent="0.25">
      <c r="A21" s="5">
        <v>8</v>
      </c>
      <c r="B21" s="35" t="s">
        <v>10</v>
      </c>
      <c r="C21" s="35"/>
      <c r="D21" s="35"/>
      <c r="E21" s="13">
        <v>39202</v>
      </c>
      <c r="F21" s="14" t="s">
        <v>98</v>
      </c>
      <c r="G21" s="8">
        <v>155.5</v>
      </c>
      <c r="H21" s="3">
        <v>53.6</v>
      </c>
      <c r="I21" s="1"/>
      <c r="J21" s="1"/>
      <c r="K21" s="3" t="s">
        <v>34</v>
      </c>
      <c r="L21" s="3" t="s">
        <v>34</v>
      </c>
      <c r="M21" s="7" t="s">
        <v>33</v>
      </c>
      <c r="N21" s="1" t="s">
        <v>140</v>
      </c>
      <c r="O21" s="1" t="s">
        <v>144</v>
      </c>
    </row>
    <row r="22" spans="1:15" ht="30" x14ac:dyDescent="0.25">
      <c r="A22" s="5">
        <v>9</v>
      </c>
      <c r="B22" s="35" t="s">
        <v>117</v>
      </c>
      <c r="C22" s="35"/>
      <c r="D22" s="35"/>
      <c r="E22" s="13">
        <v>39317</v>
      </c>
      <c r="F22" s="14" t="s">
        <v>99</v>
      </c>
      <c r="G22" s="8">
        <v>167.5</v>
      </c>
      <c r="H22" s="3">
        <v>66.8</v>
      </c>
      <c r="I22" s="1"/>
      <c r="J22" s="1"/>
      <c r="K22" s="3" t="s">
        <v>34</v>
      </c>
      <c r="L22" s="3" t="s">
        <v>34</v>
      </c>
      <c r="M22" s="7" t="s">
        <v>33</v>
      </c>
      <c r="N22" s="1" t="s">
        <v>140</v>
      </c>
      <c r="O22" s="1" t="s">
        <v>145</v>
      </c>
    </row>
    <row r="23" spans="1:15" ht="30" x14ac:dyDescent="0.25">
      <c r="A23" s="5">
        <v>10</v>
      </c>
      <c r="B23" s="35" t="s">
        <v>11</v>
      </c>
      <c r="C23" s="35"/>
      <c r="D23" s="35"/>
      <c r="E23" s="13">
        <v>39113</v>
      </c>
      <c r="F23" s="14" t="s">
        <v>100</v>
      </c>
      <c r="G23" s="1">
        <v>163.5</v>
      </c>
      <c r="H23" s="3">
        <v>61.7</v>
      </c>
      <c r="I23" s="1"/>
      <c r="J23" s="1"/>
      <c r="K23" s="3" t="s">
        <v>34</v>
      </c>
      <c r="L23" s="3" t="s">
        <v>34</v>
      </c>
      <c r="M23" s="7" t="s">
        <v>33</v>
      </c>
      <c r="N23" s="1" t="s">
        <v>141</v>
      </c>
      <c r="O23" s="1" t="s">
        <v>146</v>
      </c>
    </row>
    <row r="24" spans="1:15" ht="30.6" customHeight="1" x14ac:dyDescent="0.25">
      <c r="A24" s="5">
        <v>11</v>
      </c>
      <c r="B24" s="35" t="s">
        <v>12</v>
      </c>
      <c r="C24" s="35"/>
      <c r="D24" s="35"/>
      <c r="E24" s="13">
        <v>39120</v>
      </c>
      <c r="F24" s="14" t="s">
        <v>101</v>
      </c>
      <c r="G24" s="8">
        <v>164</v>
      </c>
      <c r="H24" s="3">
        <v>48.8</v>
      </c>
      <c r="I24" s="1"/>
      <c r="J24" s="1"/>
      <c r="K24" s="3" t="s">
        <v>34</v>
      </c>
      <c r="L24" s="3" t="s">
        <v>34</v>
      </c>
      <c r="M24" s="7" t="s">
        <v>33</v>
      </c>
      <c r="N24" s="1" t="s">
        <v>142</v>
      </c>
      <c r="O24" s="1"/>
    </row>
    <row r="25" spans="1:15" ht="30" x14ac:dyDescent="0.25">
      <c r="A25" s="5">
        <v>12</v>
      </c>
      <c r="B25" s="35" t="s">
        <v>13</v>
      </c>
      <c r="C25" s="35"/>
      <c r="D25" s="35"/>
      <c r="E25" s="13">
        <v>39372</v>
      </c>
      <c r="F25" s="14" t="s">
        <v>102</v>
      </c>
      <c r="G25" s="8">
        <v>167</v>
      </c>
      <c r="H25" s="3">
        <v>61.8</v>
      </c>
      <c r="I25" s="1"/>
      <c r="J25" s="1"/>
      <c r="K25" s="3" t="s">
        <v>34</v>
      </c>
      <c r="L25" s="3" t="s">
        <v>34</v>
      </c>
      <c r="M25" s="7" t="s">
        <v>33</v>
      </c>
      <c r="N25" s="1" t="s">
        <v>143</v>
      </c>
      <c r="O25" s="1" t="s">
        <v>147</v>
      </c>
    </row>
    <row r="26" spans="1:15" ht="30" x14ac:dyDescent="0.25">
      <c r="A26" s="5">
        <v>13</v>
      </c>
      <c r="B26" s="35" t="s">
        <v>14</v>
      </c>
      <c r="C26" s="35"/>
      <c r="D26" s="35"/>
      <c r="E26" s="13">
        <v>39427</v>
      </c>
      <c r="F26" s="14" t="s">
        <v>103</v>
      </c>
      <c r="G26" s="8">
        <v>167.5</v>
      </c>
      <c r="H26" s="3">
        <v>55.8</v>
      </c>
      <c r="I26" s="1"/>
      <c r="J26" s="1"/>
      <c r="K26" s="3" t="s">
        <v>34</v>
      </c>
      <c r="L26" s="3" t="s">
        <v>34</v>
      </c>
      <c r="M26" s="7" t="s">
        <v>33</v>
      </c>
      <c r="N26" s="1" t="s">
        <v>132</v>
      </c>
      <c r="O26" s="1" t="s">
        <v>148</v>
      </c>
    </row>
    <row r="27" spans="1:15" ht="30" x14ac:dyDescent="0.25">
      <c r="A27" s="5">
        <v>14</v>
      </c>
      <c r="B27" s="35" t="s">
        <v>15</v>
      </c>
      <c r="C27" s="35"/>
      <c r="D27" s="35"/>
      <c r="E27" s="13">
        <v>39216</v>
      </c>
      <c r="F27" s="14" t="s">
        <v>104</v>
      </c>
      <c r="G27" s="8">
        <v>169.5</v>
      </c>
      <c r="H27" s="3">
        <v>58.4</v>
      </c>
      <c r="I27" s="1"/>
      <c r="J27" s="1"/>
      <c r="K27" s="3" t="s">
        <v>34</v>
      </c>
      <c r="L27" s="3" t="s">
        <v>34</v>
      </c>
      <c r="M27" s="7" t="s">
        <v>33</v>
      </c>
      <c r="N27" s="1" t="s">
        <v>131</v>
      </c>
      <c r="O27" s="1"/>
    </row>
    <row r="28" spans="1:15" ht="30" x14ac:dyDescent="0.25">
      <c r="A28" s="5">
        <v>15</v>
      </c>
      <c r="B28" s="35" t="s">
        <v>16</v>
      </c>
      <c r="C28" s="35"/>
      <c r="D28" s="35"/>
      <c r="E28" s="13">
        <v>39344</v>
      </c>
      <c r="F28" s="14" t="s">
        <v>105</v>
      </c>
      <c r="G28" s="8"/>
      <c r="H28" s="3"/>
      <c r="I28" s="1"/>
      <c r="J28" s="1"/>
      <c r="K28" s="3" t="s">
        <v>34</v>
      </c>
      <c r="L28" s="3" t="s">
        <v>34</v>
      </c>
      <c r="M28" s="7" t="s">
        <v>33</v>
      </c>
      <c r="N28" s="1" t="s">
        <v>131</v>
      </c>
      <c r="O28" s="1"/>
    </row>
    <row r="29" spans="1:15" ht="30" x14ac:dyDescent="0.25">
      <c r="A29" s="5">
        <v>16</v>
      </c>
      <c r="B29" s="35" t="s">
        <v>17</v>
      </c>
      <c r="C29" s="35"/>
      <c r="D29" s="35"/>
      <c r="E29" s="13"/>
      <c r="F29" s="14" t="s">
        <v>106</v>
      </c>
      <c r="G29" s="8">
        <v>166</v>
      </c>
      <c r="H29" s="3">
        <v>49</v>
      </c>
      <c r="I29" s="1" t="s">
        <v>151</v>
      </c>
      <c r="J29" s="1" t="s">
        <v>151</v>
      </c>
      <c r="K29" s="3" t="s">
        <v>32</v>
      </c>
      <c r="L29" s="3" t="s">
        <v>32</v>
      </c>
      <c r="M29" s="7" t="s">
        <v>31</v>
      </c>
      <c r="N29" s="1" t="s">
        <v>132</v>
      </c>
      <c r="O29" s="1" t="s">
        <v>149</v>
      </c>
    </row>
    <row r="30" spans="1:15" ht="45" x14ac:dyDescent="0.25">
      <c r="A30" s="5">
        <v>17</v>
      </c>
      <c r="B30" s="35" t="s">
        <v>19</v>
      </c>
      <c r="C30" s="35"/>
      <c r="D30" s="35"/>
      <c r="E30" s="13">
        <v>39324</v>
      </c>
      <c r="F30" s="14" t="s">
        <v>107</v>
      </c>
      <c r="G30" s="8">
        <v>161.5</v>
      </c>
      <c r="H30" s="3">
        <v>57.4</v>
      </c>
      <c r="I30" s="4" t="s">
        <v>152</v>
      </c>
      <c r="J30" s="4" t="s">
        <v>152</v>
      </c>
      <c r="K30" s="3" t="s">
        <v>32</v>
      </c>
      <c r="L30" s="3" t="s">
        <v>32</v>
      </c>
      <c r="M30" s="7" t="s">
        <v>31</v>
      </c>
      <c r="N30" s="1" t="s">
        <v>133</v>
      </c>
      <c r="O30" s="1"/>
    </row>
    <row r="31" spans="1:15" ht="30" x14ac:dyDescent="0.25">
      <c r="A31" s="5">
        <v>18</v>
      </c>
      <c r="B31" s="35" t="s">
        <v>18</v>
      </c>
      <c r="C31" s="35"/>
      <c r="D31" s="35"/>
      <c r="E31" s="13">
        <v>39457</v>
      </c>
      <c r="F31" s="14" t="s">
        <v>108</v>
      </c>
      <c r="G31" s="8">
        <v>158.5</v>
      </c>
      <c r="H31" s="3">
        <v>47.3</v>
      </c>
      <c r="I31" s="1" t="s">
        <v>153</v>
      </c>
      <c r="J31" s="1" t="s">
        <v>153</v>
      </c>
      <c r="K31" s="3" t="s">
        <v>32</v>
      </c>
      <c r="L31" s="3" t="s">
        <v>32</v>
      </c>
      <c r="M31" s="7" t="s">
        <v>31</v>
      </c>
      <c r="N31" s="1" t="s">
        <v>134</v>
      </c>
      <c r="O31" s="1" t="s">
        <v>150</v>
      </c>
    </row>
    <row r="32" spans="1:15" ht="30" x14ac:dyDescent="0.25">
      <c r="A32" s="5">
        <v>19</v>
      </c>
      <c r="B32" s="35" t="s">
        <v>20</v>
      </c>
      <c r="C32" s="35"/>
      <c r="D32" s="35"/>
      <c r="E32" s="13">
        <v>39210</v>
      </c>
      <c r="F32" s="14" t="s">
        <v>109</v>
      </c>
      <c r="G32" s="8">
        <v>159.5</v>
      </c>
      <c r="H32" s="3">
        <v>48.5</v>
      </c>
      <c r="I32" s="4"/>
      <c r="J32" s="4"/>
      <c r="K32" s="3" t="s">
        <v>34</v>
      </c>
      <c r="L32" s="3"/>
      <c r="M32" s="7" t="s">
        <v>33</v>
      </c>
      <c r="N32" s="36" t="s">
        <v>139</v>
      </c>
      <c r="O32" s="37"/>
    </row>
    <row r="33" spans="1:15" ht="30" x14ac:dyDescent="0.25">
      <c r="A33" s="5">
        <v>20</v>
      </c>
      <c r="B33" s="35" t="s">
        <v>118</v>
      </c>
      <c r="C33" s="35"/>
      <c r="D33" s="35"/>
      <c r="E33" s="13">
        <v>39333</v>
      </c>
      <c r="F33" s="14" t="s">
        <v>122</v>
      </c>
      <c r="G33" s="8">
        <v>179.5</v>
      </c>
      <c r="H33" s="3">
        <v>82.6</v>
      </c>
      <c r="I33" s="4" t="s">
        <v>154</v>
      </c>
      <c r="J33" s="4" t="s">
        <v>154</v>
      </c>
      <c r="K33" s="3" t="s">
        <v>32</v>
      </c>
      <c r="L33" s="3" t="s">
        <v>32</v>
      </c>
      <c r="M33" s="7" t="s">
        <v>31</v>
      </c>
      <c r="N33" s="1" t="s">
        <v>131</v>
      </c>
      <c r="O33" s="1"/>
    </row>
    <row r="34" spans="1:15" ht="30" x14ac:dyDescent="0.25">
      <c r="A34" s="5">
        <v>21</v>
      </c>
      <c r="B34" s="35" t="s">
        <v>21</v>
      </c>
      <c r="C34" s="35"/>
      <c r="D34" s="35"/>
      <c r="E34" s="13">
        <v>39136</v>
      </c>
      <c r="F34" s="14" t="s">
        <v>110</v>
      </c>
      <c r="G34" s="8">
        <v>171</v>
      </c>
      <c r="H34" s="3">
        <v>56</v>
      </c>
      <c r="I34" s="1"/>
      <c r="J34" s="1"/>
      <c r="K34" s="3" t="s">
        <v>34</v>
      </c>
      <c r="L34" s="3" t="s">
        <v>34</v>
      </c>
      <c r="M34" s="7" t="s">
        <v>33</v>
      </c>
      <c r="N34" s="1" t="s">
        <v>138</v>
      </c>
      <c r="O34" s="1"/>
    </row>
    <row r="35" spans="1:15" ht="30" x14ac:dyDescent="0.25">
      <c r="A35" s="5">
        <v>22</v>
      </c>
      <c r="B35" s="35" t="s">
        <v>22</v>
      </c>
      <c r="C35" s="35"/>
      <c r="D35" s="35"/>
      <c r="E35" s="13">
        <v>39074</v>
      </c>
      <c r="F35" s="14" t="s">
        <v>111</v>
      </c>
      <c r="G35" s="8">
        <v>178.5</v>
      </c>
      <c r="H35" s="3">
        <v>53</v>
      </c>
      <c r="I35" s="4"/>
      <c r="J35" s="1"/>
      <c r="K35" s="3" t="s">
        <v>34</v>
      </c>
      <c r="L35" s="3" t="s">
        <v>34</v>
      </c>
      <c r="M35" s="7" t="s">
        <v>31</v>
      </c>
      <c r="N35" s="1" t="s">
        <v>131</v>
      </c>
      <c r="O35" s="1"/>
    </row>
    <row r="36" spans="1:15" ht="30" x14ac:dyDescent="0.25">
      <c r="A36" s="5">
        <v>23</v>
      </c>
      <c r="B36" s="35" t="s">
        <v>23</v>
      </c>
      <c r="C36" s="35"/>
      <c r="D36" s="35"/>
      <c r="E36" s="13">
        <v>39143</v>
      </c>
      <c r="F36" s="14" t="s">
        <v>112</v>
      </c>
      <c r="G36" s="8">
        <v>173</v>
      </c>
      <c r="H36" s="3">
        <v>52</v>
      </c>
      <c r="I36" s="1"/>
      <c r="J36" s="1"/>
      <c r="K36" s="3" t="s">
        <v>34</v>
      </c>
      <c r="L36" s="3" t="s">
        <v>34</v>
      </c>
      <c r="M36" s="7" t="s">
        <v>33</v>
      </c>
      <c r="N36" s="1" t="s">
        <v>131</v>
      </c>
      <c r="O36" s="1"/>
    </row>
    <row r="37" spans="1:15" ht="30" x14ac:dyDescent="0.25">
      <c r="A37" s="5">
        <v>24</v>
      </c>
      <c r="B37" s="35" t="s">
        <v>24</v>
      </c>
      <c r="C37" s="35"/>
      <c r="D37" s="35"/>
      <c r="E37" s="13">
        <v>39080</v>
      </c>
      <c r="F37" s="14" t="s">
        <v>113</v>
      </c>
      <c r="G37" s="8"/>
      <c r="H37" s="3"/>
      <c r="I37" s="4"/>
      <c r="J37" s="1"/>
      <c r="K37" s="3" t="s">
        <v>34</v>
      </c>
      <c r="L37" s="3" t="s">
        <v>34</v>
      </c>
      <c r="M37" s="7" t="s">
        <v>33</v>
      </c>
      <c r="N37" s="1" t="s">
        <v>131</v>
      </c>
      <c r="O37" s="1"/>
    </row>
  </sheetData>
  <mergeCells count="38">
    <mergeCell ref="B24:D24"/>
    <mergeCell ref="N18:O18"/>
    <mergeCell ref="N32:O32"/>
    <mergeCell ref="B32:D32"/>
    <mergeCell ref="B34:D34"/>
    <mergeCell ref="B37:D37"/>
    <mergeCell ref="B33:D33"/>
    <mergeCell ref="B26:D26"/>
    <mergeCell ref="B27:D27"/>
    <mergeCell ref="B28:D28"/>
    <mergeCell ref="B29:D29"/>
    <mergeCell ref="B30:D30"/>
    <mergeCell ref="B31:D31"/>
    <mergeCell ref="B36:D36"/>
    <mergeCell ref="B35:D35"/>
    <mergeCell ref="B8:D8"/>
    <mergeCell ref="B9:D9"/>
    <mergeCell ref="B25:D25"/>
    <mergeCell ref="B14:D14"/>
    <mergeCell ref="B15:D15"/>
    <mergeCell ref="B16:D16"/>
    <mergeCell ref="B17:D17"/>
    <mergeCell ref="B18:D18"/>
    <mergeCell ref="B19:D19"/>
    <mergeCell ref="B13:D13"/>
    <mergeCell ref="B10:D10"/>
    <mergeCell ref="B11:D11"/>
    <mergeCell ref="B20:D20"/>
    <mergeCell ref="B21:D21"/>
    <mergeCell ref="B22:D22"/>
    <mergeCell ref="B23:D23"/>
    <mergeCell ref="B6:D6"/>
    <mergeCell ref="B7:D7"/>
    <mergeCell ref="B4:D4"/>
    <mergeCell ref="B5:D5"/>
    <mergeCell ref="A1:I1"/>
    <mergeCell ref="B2:D2"/>
    <mergeCell ref="B3:D3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9"/>
  <dimension ref="A1:M51"/>
  <sheetViews>
    <sheetView workbookViewId="0">
      <selection activeCell="B100" sqref="B100"/>
    </sheetView>
  </sheetViews>
  <sheetFormatPr defaultRowHeight="15" x14ac:dyDescent="0.25"/>
  <cols>
    <col min="1" max="1" width="13.85546875" customWidth="1"/>
    <col min="2" max="2" width="41.7109375" customWidth="1"/>
    <col min="3" max="3" width="15.140625" customWidth="1"/>
    <col min="4" max="4" width="14" customWidth="1"/>
    <col min="5" max="5" width="14.42578125" customWidth="1"/>
    <col min="6" max="6" width="12.42578125" customWidth="1"/>
    <col min="7" max="7" width="16.28515625" customWidth="1"/>
  </cols>
  <sheetData>
    <row r="1" spans="1:13" ht="23.25" x14ac:dyDescent="0.25">
      <c r="A1" s="19" t="s">
        <v>233</v>
      </c>
    </row>
    <row r="2" spans="1:13" ht="48.75" customHeight="1" x14ac:dyDescent="0.25">
      <c r="A2" s="38" t="s">
        <v>220</v>
      </c>
      <c r="B2" s="38" t="s">
        <v>234</v>
      </c>
      <c r="C2" s="38" t="s">
        <v>235</v>
      </c>
      <c r="D2" s="20">
        <v>44531</v>
      </c>
      <c r="E2" s="20">
        <v>44562</v>
      </c>
      <c r="F2" s="20">
        <v>44593</v>
      </c>
      <c r="G2" s="20">
        <v>44621</v>
      </c>
      <c r="H2" s="21">
        <v>44652</v>
      </c>
      <c r="I2" s="21">
        <v>44682</v>
      </c>
      <c r="J2" s="21">
        <v>44805</v>
      </c>
      <c r="K2" s="21">
        <v>44835</v>
      </c>
      <c r="L2" s="1"/>
      <c r="M2" t="s">
        <v>300</v>
      </c>
    </row>
    <row r="3" spans="1:13" ht="31.5" hidden="1" x14ac:dyDescent="0.25">
      <c r="A3" s="38"/>
      <c r="B3" s="38"/>
      <c r="C3" s="38"/>
      <c r="D3" s="24" t="s">
        <v>236</v>
      </c>
      <c r="E3" s="24" t="s">
        <v>237</v>
      </c>
      <c r="F3" s="24" t="s">
        <v>238</v>
      </c>
      <c r="G3" s="24" t="s">
        <v>239</v>
      </c>
      <c r="H3" s="2"/>
      <c r="I3" s="2"/>
      <c r="J3" s="2"/>
      <c r="K3" s="2"/>
      <c r="L3" s="2"/>
    </row>
    <row r="4" spans="1:13" ht="27" customHeight="1" x14ac:dyDescent="0.25">
      <c r="A4" s="11">
        <v>1</v>
      </c>
      <c r="B4" s="11" t="s">
        <v>240</v>
      </c>
      <c r="C4" s="11"/>
      <c r="D4" s="11">
        <v>659</v>
      </c>
      <c r="E4" s="11">
        <v>646</v>
      </c>
      <c r="F4" s="11">
        <v>645</v>
      </c>
      <c r="G4" s="11">
        <v>645</v>
      </c>
      <c r="H4" s="1">
        <v>645</v>
      </c>
      <c r="I4" s="1">
        <v>646</v>
      </c>
      <c r="J4" s="1">
        <v>776</v>
      </c>
      <c r="K4" s="1">
        <v>776</v>
      </c>
      <c r="L4" s="1"/>
      <c r="M4" s="1"/>
    </row>
    <row r="5" spans="1:13" ht="24" customHeight="1" x14ac:dyDescent="0.25">
      <c r="A5" s="11">
        <v>2</v>
      </c>
      <c r="B5" s="11" t="s">
        <v>241</v>
      </c>
      <c r="C5" s="11" t="s">
        <v>242</v>
      </c>
      <c r="D5" s="25">
        <f t="shared" ref="D5:L5" si="0">SUM(D6+D29+D34)</f>
        <v>250</v>
      </c>
      <c r="E5" s="25">
        <f t="shared" si="0"/>
        <v>76</v>
      </c>
      <c r="F5" s="25">
        <f t="shared" si="0"/>
        <v>349</v>
      </c>
      <c r="G5" s="25">
        <f t="shared" si="0"/>
        <v>109</v>
      </c>
      <c r="H5" s="25">
        <f t="shared" si="0"/>
        <v>57</v>
      </c>
      <c r="I5" s="25">
        <f t="shared" si="0"/>
        <v>64</v>
      </c>
      <c r="J5" s="25">
        <f t="shared" si="0"/>
        <v>88</v>
      </c>
      <c r="K5" s="25">
        <f t="shared" si="0"/>
        <v>111</v>
      </c>
      <c r="L5" s="25">
        <f t="shared" si="0"/>
        <v>0</v>
      </c>
      <c r="M5" s="25">
        <f t="shared" ref="M5:M34" si="1">SUM(D5+E5+F5+G5+H5+I5+J5+K5)</f>
        <v>1104</v>
      </c>
    </row>
    <row r="6" spans="1:13" ht="26.25" customHeight="1" x14ac:dyDescent="0.25">
      <c r="A6" s="11">
        <v>3</v>
      </c>
      <c r="B6" s="11" t="s">
        <v>243</v>
      </c>
      <c r="C6" s="11" t="s">
        <v>244</v>
      </c>
      <c r="D6" s="18">
        <f t="shared" ref="D6:L6" si="2">SUM(D7+D11+D15+D25+D28)</f>
        <v>1</v>
      </c>
      <c r="E6" s="18">
        <f t="shared" si="2"/>
        <v>1</v>
      </c>
      <c r="F6" s="18">
        <f t="shared" si="2"/>
        <v>0</v>
      </c>
      <c r="G6" s="18">
        <f t="shared" si="2"/>
        <v>1</v>
      </c>
      <c r="H6" s="18">
        <f t="shared" si="2"/>
        <v>3</v>
      </c>
      <c r="I6" s="18">
        <f t="shared" si="2"/>
        <v>1</v>
      </c>
      <c r="J6" s="18">
        <f t="shared" si="2"/>
        <v>0</v>
      </c>
      <c r="K6" s="18">
        <f t="shared" si="2"/>
        <v>1</v>
      </c>
      <c r="L6" s="18">
        <f t="shared" si="2"/>
        <v>0</v>
      </c>
      <c r="M6" s="18">
        <f t="shared" si="1"/>
        <v>8</v>
      </c>
    </row>
    <row r="7" spans="1:13" ht="27" customHeight="1" x14ac:dyDescent="0.25">
      <c r="A7" s="22">
        <v>3.1</v>
      </c>
      <c r="B7" s="11" t="s">
        <v>245</v>
      </c>
      <c r="C7" s="11" t="s">
        <v>246</v>
      </c>
      <c r="D7" s="23">
        <f t="shared" ref="D7:L7" si="3">SUM(D8:D10)</f>
        <v>0</v>
      </c>
      <c r="E7" s="23">
        <f t="shared" si="3"/>
        <v>1</v>
      </c>
      <c r="F7" s="23">
        <f t="shared" si="3"/>
        <v>0</v>
      </c>
      <c r="G7" s="23">
        <f t="shared" si="3"/>
        <v>1</v>
      </c>
      <c r="H7" s="23">
        <f t="shared" si="3"/>
        <v>1</v>
      </c>
      <c r="I7" s="23">
        <f t="shared" si="3"/>
        <v>0</v>
      </c>
      <c r="J7" s="23">
        <f t="shared" si="3"/>
        <v>0</v>
      </c>
      <c r="K7" s="23">
        <f t="shared" si="3"/>
        <v>0</v>
      </c>
      <c r="L7" s="23">
        <f t="shared" si="3"/>
        <v>0</v>
      </c>
      <c r="M7" s="17">
        <f t="shared" si="1"/>
        <v>3</v>
      </c>
    </row>
    <row r="8" spans="1:13" ht="21.75" customHeight="1" x14ac:dyDescent="0.25">
      <c r="A8" s="27">
        <v>0.12569444444444444</v>
      </c>
      <c r="B8" s="11" t="s">
        <v>247</v>
      </c>
      <c r="C8" s="11" t="s">
        <v>248</v>
      </c>
      <c r="D8" s="11"/>
      <c r="E8" s="11"/>
      <c r="F8" s="11"/>
      <c r="G8" s="11"/>
      <c r="H8" s="1"/>
      <c r="I8" s="1"/>
      <c r="J8" s="1"/>
      <c r="K8" s="1"/>
      <c r="L8" s="1"/>
      <c r="M8" s="25">
        <f t="shared" si="1"/>
        <v>0</v>
      </c>
    </row>
    <row r="9" spans="1:13" x14ac:dyDescent="0.25">
      <c r="A9" s="28">
        <v>0.12570601851851851</v>
      </c>
      <c r="B9" s="11" t="s">
        <v>249</v>
      </c>
      <c r="C9" s="11" t="s">
        <v>250</v>
      </c>
      <c r="D9" s="11"/>
      <c r="E9" s="11"/>
      <c r="F9" s="11"/>
      <c r="G9" s="11"/>
      <c r="H9" s="1"/>
      <c r="I9" s="1"/>
      <c r="J9" s="1"/>
      <c r="K9" s="1"/>
      <c r="L9" s="1"/>
      <c r="M9" s="25">
        <f t="shared" si="1"/>
        <v>0</v>
      </c>
    </row>
    <row r="10" spans="1:13" ht="25.5" customHeight="1" x14ac:dyDescent="0.25">
      <c r="A10" s="28">
        <v>0.1257175925925926</v>
      </c>
      <c r="B10" s="11" t="s">
        <v>251</v>
      </c>
      <c r="C10" s="11" t="s">
        <v>252</v>
      </c>
      <c r="D10" s="11"/>
      <c r="E10" s="11">
        <v>1</v>
      </c>
      <c r="F10" s="11"/>
      <c r="G10" s="11">
        <v>1</v>
      </c>
      <c r="H10" s="1">
        <v>1</v>
      </c>
      <c r="I10" s="1"/>
      <c r="J10" s="1"/>
      <c r="K10" s="1"/>
      <c r="L10" s="1"/>
      <c r="M10" s="25">
        <f t="shared" si="1"/>
        <v>3</v>
      </c>
    </row>
    <row r="11" spans="1:13" ht="24" customHeight="1" x14ac:dyDescent="0.25">
      <c r="A11" s="28">
        <v>0.12572916666666667</v>
      </c>
      <c r="B11" s="11" t="s">
        <v>253</v>
      </c>
      <c r="C11" s="11" t="s">
        <v>254</v>
      </c>
      <c r="D11" s="23">
        <f t="shared" ref="D11:L11" si="4">SUM(D12:D14)</f>
        <v>0</v>
      </c>
      <c r="E11" s="23">
        <f t="shared" si="4"/>
        <v>0</v>
      </c>
      <c r="F11" s="23">
        <f t="shared" si="4"/>
        <v>0</v>
      </c>
      <c r="G11" s="23">
        <f t="shared" si="4"/>
        <v>0</v>
      </c>
      <c r="H11" s="23">
        <f t="shared" si="4"/>
        <v>0</v>
      </c>
      <c r="I11" s="23">
        <f t="shared" si="4"/>
        <v>1</v>
      </c>
      <c r="J11" s="23">
        <f t="shared" si="4"/>
        <v>0</v>
      </c>
      <c r="K11" s="23">
        <f t="shared" si="4"/>
        <v>0</v>
      </c>
      <c r="L11" s="23">
        <f t="shared" si="4"/>
        <v>0</v>
      </c>
      <c r="M11" s="17">
        <f t="shared" si="1"/>
        <v>1</v>
      </c>
    </row>
    <row r="12" spans="1:13" x14ac:dyDescent="0.25">
      <c r="A12" s="27">
        <v>0.12638888888888888</v>
      </c>
      <c r="B12" s="11" t="s">
        <v>255</v>
      </c>
      <c r="C12" s="11" t="s">
        <v>256</v>
      </c>
      <c r="D12" s="11"/>
      <c r="E12" s="11"/>
      <c r="F12" s="11"/>
      <c r="G12" s="11"/>
      <c r="H12" s="1"/>
      <c r="I12" s="1"/>
      <c r="J12" s="1"/>
      <c r="K12" s="1"/>
      <c r="L12" s="1"/>
      <c r="M12" s="25">
        <f t="shared" si="1"/>
        <v>0</v>
      </c>
    </row>
    <row r="13" spans="1:13" x14ac:dyDescent="0.25">
      <c r="A13" s="28">
        <v>0.12640046296296295</v>
      </c>
      <c r="B13" s="11" t="s">
        <v>257</v>
      </c>
      <c r="C13" s="11" t="s">
        <v>258</v>
      </c>
      <c r="D13" s="11"/>
      <c r="E13" s="11"/>
      <c r="F13" s="11"/>
      <c r="G13" s="11"/>
      <c r="H13" s="1"/>
      <c r="I13" s="1"/>
      <c r="J13" s="1"/>
      <c r="K13" s="1"/>
      <c r="L13" s="1"/>
      <c r="M13" s="25">
        <f t="shared" si="1"/>
        <v>0</v>
      </c>
    </row>
    <row r="14" spans="1:13" x14ac:dyDescent="0.25">
      <c r="A14" s="28">
        <v>0.12641203703703704</v>
      </c>
      <c r="B14" s="11" t="s">
        <v>259</v>
      </c>
      <c r="C14" s="11" t="s">
        <v>260</v>
      </c>
      <c r="D14" s="11"/>
      <c r="E14" s="11"/>
      <c r="F14" s="11"/>
      <c r="G14" s="11"/>
      <c r="H14" s="1"/>
      <c r="I14" s="1">
        <v>1</v>
      </c>
      <c r="J14" s="1"/>
      <c r="K14" s="1"/>
      <c r="L14" s="1"/>
      <c r="M14" s="25">
        <f t="shared" si="1"/>
        <v>1</v>
      </c>
    </row>
    <row r="15" spans="1:13" ht="21.75" customHeight="1" x14ac:dyDescent="0.25">
      <c r="A15" s="28">
        <v>0.12642361111111111</v>
      </c>
      <c r="B15" s="11" t="s">
        <v>261</v>
      </c>
      <c r="C15" s="11" t="s">
        <v>262</v>
      </c>
      <c r="D15" s="23">
        <f t="shared" ref="D15:L15" si="5">SUM(D16:D24)</f>
        <v>1</v>
      </c>
      <c r="E15" s="23">
        <f t="shared" si="5"/>
        <v>0</v>
      </c>
      <c r="F15" s="23">
        <f t="shared" si="5"/>
        <v>0</v>
      </c>
      <c r="G15" s="23">
        <f t="shared" si="5"/>
        <v>0</v>
      </c>
      <c r="H15" s="23">
        <f t="shared" si="5"/>
        <v>2</v>
      </c>
      <c r="I15" s="23">
        <f t="shared" si="5"/>
        <v>0</v>
      </c>
      <c r="J15" s="23">
        <f t="shared" si="5"/>
        <v>0</v>
      </c>
      <c r="K15" s="23">
        <f t="shared" si="5"/>
        <v>1</v>
      </c>
      <c r="L15" s="23">
        <f t="shared" si="5"/>
        <v>0</v>
      </c>
      <c r="M15" s="17">
        <f t="shared" si="1"/>
        <v>4</v>
      </c>
    </row>
    <row r="16" spans="1:13" x14ac:dyDescent="0.25">
      <c r="A16" s="27">
        <v>0.12708333333333333</v>
      </c>
      <c r="B16" s="11" t="s">
        <v>263</v>
      </c>
      <c r="C16" s="11" t="s">
        <v>264</v>
      </c>
      <c r="D16" s="11">
        <v>1</v>
      </c>
      <c r="E16" s="11"/>
      <c r="F16" s="11"/>
      <c r="G16" s="11"/>
      <c r="H16" s="1">
        <v>2</v>
      </c>
      <c r="I16" s="1"/>
      <c r="J16" s="1"/>
      <c r="K16" s="1"/>
      <c r="L16" s="1"/>
      <c r="M16" s="25">
        <f t="shared" si="1"/>
        <v>3</v>
      </c>
    </row>
    <row r="17" spans="1:13" x14ac:dyDescent="0.25">
      <c r="A17" s="28">
        <v>0.12709490740740739</v>
      </c>
      <c r="B17" s="11" t="s">
        <v>265</v>
      </c>
      <c r="C17" s="11" t="s">
        <v>266</v>
      </c>
      <c r="D17" s="11"/>
      <c r="E17" s="11"/>
      <c r="F17" s="11"/>
      <c r="G17" s="11"/>
      <c r="H17" s="1"/>
      <c r="I17" s="1"/>
      <c r="J17" s="1"/>
      <c r="K17" s="1"/>
      <c r="L17" s="1"/>
      <c r="M17" s="25">
        <f t="shared" si="1"/>
        <v>0</v>
      </c>
    </row>
    <row r="18" spans="1:13" x14ac:dyDescent="0.25">
      <c r="A18" s="28">
        <v>0.12710648148148149</v>
      </c>
      <c r="B18" s="11" t="s">
        <v>267</v>
      </c>
      <c r="C18" s="11" t="s">
        <v>268</v>
      </c>
      <c r="D18" s="11"/>
      <c r="E18" s="11"/>
      <c r="F18" s="11"/>
      <c r="G18" s="11"/>
      <c r="H18" s="1"/>
      <c r="I18" s="1"/>
      <c r="J18" s="1"/>
      <c r="K18" s="1"/>
      <c r="L18" s="1"/>
      <c r="M18" s="25">
        <f t="shared" si="1"/>
        <v>0</v>
      </c>
    </row>
    <row r="19" spans="1:13" x14ac:dyDescent="0.25">
      <c r="A19" s="28">
        <v>0.12711805555555555</v>
      </c>
      <c r="B19" s="11" t="s">
        <v>269</v>
      </c>
      <c r="C19" s="11" t="s">
        <v>270</v>
      </c>
      <c r="D19" s="11"/>
      <c r="E19" s="11"/>
      <c r="F19" s="11"/>
      <c r="G19" s="11"/>
      <c r="H19" s="1"/>
      <c r="I19" s="1"/>
      <c r="J19" s="1"/>
      <c r="K19" s="1"/>
      <c r="L19" s="1"/>
      <c r="M19" s="25">
        <f t="shared" si="1"/>
        <v>0</v>
      </c>
    </row>
    <row r="20" spans="1:13" x14ac:dyDescent="0.25">
      <c r="A20" s="28">
        <v>0.12712962962962962</v>
      </c>
      <c r="B20" s="11" t="s">
        <v>271</v>
      </c>
      <c r="C20" s="11" t="s">
        <v>272</v>
      </c>
      <c r="D20" s="11"/>
      <c r="E20" s="11"/>
      <c r="F20" s="11"/>
      <c r="G20" s="11"/>
      <c r="H20" s="1"/>
      <c r="I20" s="1"/>
      <c r="J20" s="1"/>
      <c r="K20" s="1"/>
      <c r="L20" s="1"/>
      <c r="M20" s="25">
        <f t="shared" si="1"/>
        <v>0</v>
      </c>
    </row>
    <row r="21" spans="1:13" x14ac:dyDescent="0.25">
      <c r="A21" s="11"/>
      <c r="B21" s="11" t="s">
        <v>273</v>
      </c>
      <c r="C21" s="11" t="s">
        <v>274</v>
      </c>
      <c r="D21" s="11"/>
      <c r="E21" s="11"/>
      <c r="F21" s="11"/>
      <c r="G21" s="11"/>
      <c r="H21" s="1"/>
      <c r="I21" s="1"/>
      <c r="J21" s="1"/>
      <c r="K21" s="1"/>
      <c r="L21" s="1"/>
      <c r="M21" s="25">
        <f t="shared" si="1"/>
        <v>0</v>
      </c>
    </row>
    <row r="22" spans="1:13" x14ac:dyDescent="0.25">
      <c r="A22" s="11"/>
      <c r="B22" s="11" t="s">
        <v>275</v>
      </c>
      <c r="C22" s="11" t="s">
        <v>276</v>
      </c>
      <c r="D22" s="11"/>
      <c r="E22" s="11"/>
      <c r="F22" s="11"/>
      <c r="G22" s="11"/>
      <c r="H22" s="1"/>
      <c r="I22" s="1"/>
      <c r="J22" s="1"/>
      <c r="K22" s="1"/>
      <c r="L22" s="1"/>
      <c r="M22" s="25">
        <f t="shared" si="1"/>
        <v>0</v>
      </c>
    </row>
    <row r="23" spans="1:13" x14ac:dyDescent="0.25">
      <c r="A23" s="11"/>
      <c r="B23" s="11" t="s">
        <v>301</v>
      </c>
      <c r="C23" s="11"/>
      <c r="D23" s="11"/>
      <c r="E23" s="11"/>
      <c r="F23" s="11"/>
      <c r="G23" s="11"/>
      <c r="H23" s="1"/>
      <c r="I23" s="1"/>
      <c r="J23" s="1"/>
      <c r="K23" s="1">
        <v>1</v>
      </c>
      <c r="L23" s="1"/>
      <c r="M23" s="25">
        <f t="shared" si="1"/>
        <v>1</v>
      </c>
    </row>
    <row r="24" spans="1:13" x14ac:dyDescent="0.25">
      <c r="A24" s="28">
        <v>0.12711805555555555</v>
      </c>
      <c r="B24" s="11" t="s">
        <v>277</v>
      </c>
      <c r="C24" s="11" t="s">
        <v>278</v>
      </c>
      <c r="D24" s="11"/>
      <c r="E24" s="11"/>
      <c r="F24" s="11"/>
      <c r="G24" s="11"/>
      <c r="H24" s="1"/>
      <c r="I24" s="1"/>
      <c r="J24" s="1"/>
      <c r="K24" s="1"/>
      <c r="L24" s="1"/>
      <c r="M24" s="25">
        <f t="shared" si="1"/>
        <v>0</v>
      </c>
    </row>
    <row r="25" spans="1:13" x14ac:dyDescent="0.25">
      <c r="A25" s="27">
        <v>0.1277777777777778</v>
      </c>
      <c r="B25" s="11" t="s">
        <v>279</v>
      </c>
      <c r="C25" s="11" t="s">
        <v>280</v>
      </c>
      <c r="D25" s="23">
        <f t="shared" ref="D25:L25" si="6">SUM(D26:D27)</f>
        <v>0</v>
      </c>
      <c r="E25" s="23">
        <f t="shared" si="6"/>
        <v>0</v>
      </c>
      <c r="F25" s="23">
        <f t="shared" si="6"/>
        <v>0</v>
      </c>
      <c r="G25" s="23">
        <f t="shared" si="6"/>
        <v>0</v>
      </c>
      <c r="H25" s="23">
        <f t="shared" si="6"/>
        <v>0</v>
      </c>
      <c r="I25" s="23">
        <f t="shared" si="6"/>
        <v>0</v>
      </c>
      <c r="J25" s="23">
        <f t="shared" si="6"/>
        <v>0</v>
      </c>
      <c r="K25" s="23">
        <f t="shared" si="6"/>
        <v>0</v>
      </c>
      <c r="L25" s="23">
        <f t="shared" si="6"/>
        <v>0</v>
      </c>
      <c r="M25" s="17">
        <f t="shared" si="1"/>
        <v>0</v>
      </c>
    </row>
    <row r="26" spans="1:13" x14ac:dyDescent="0.25">
      <c r="A26" s="28">
        <v>0.12778935185185183</v>
      </c>
      <c r="B26" s="11" t="s">
        <v>281</v>
      </c>
      <c r="C26" s="11" t="s">
        <v>282</v>
      </c>
      <c r="D26" s="11"/>
      <c r="E26" s="11"/>
      <c r="F26" s="11"/>
      <c r="G26" s="11"/>
      <c r="H26" s="1"/>
      <c r="I26" s="1"/>
      <c r="J26" s="1"/>
      <c r="K26" s="1"/>
      <c r="L26" s="1"/>
      <c r="M26" s="25">
        <f t="shared" si="1"/>
        <v>0</v>
      </c>
    </row>
    <row r="27" spans="1:13" x14ac:dyDescent="0.25">
      <c r="A27" s="28">
        <v>0.12780092592592593</v>
      </c>
      <c r="B27" s="11" t="s">
        <v>283</v>
      </c>
      <c r="C27" s="11" t="s">
        <v>284</v>
      </c>
      <c r="D27" s="11"/>
      <c r="E27" s="11"/>
      <c r="F27" s="11"/>
      <c r="G27" s="11"/>
      <c r="H27" s="1"/>
      <c r="I27" s="1"/>
      <c r="J27" s="1"/>
      <c r="K27" s="1"/>
      <c r="L27" s="1"/>
      <c r="M27" s="25">
        <f t="shared" si="1"/>
        <v>0</v>
      </c>
    </row>
    <row r="28" spans="1:13" ht="36.75" customHeight="1" x14ac:dyDescent="0.25">
      <c r="A28" s="27">
        <v>0.12847222222222224</v>
      </c>
      <c r="B28" s="11" t="s">
        <v>285</v>
      </c>
      <c r="C28" s="11" t="s">
        <v>286</v>
      </c>
      <c r="D28" s="23"/>
      <c r="E28" s="23"/>
      <c r="F28" s="23"/>
      <c r="G28" s="23"/>
      <c r="H28" s="17"/>
      <c r="I28" s="17"/>
      <c r="J28" s="17"/>
      <c r="K28" s="17"/>
      <c r="L28" s="17"/>
      <c r="M28" s="17">
        <f t="shared" si="1"/>
        <v>0</v>
      </c>
    </row>
    <row r="29" spans="1:13" ht="25.5" customHeight="1" x14ac:dyDescent="0.25">
      <c r="A29" s="11" t="s">
        <v>287</v>
      </c>
      <c r="B29" s="11" t="s">
        <v>288</v>
      </c>
      <c r="C29" s="11" t="s">
        <v>289</v>
      </c>
      <c r="D29" s="18">
        <f t="shared" ref="D29:L29" si="7">SUM(D30+D31+D32+D33)</f>
        <v>246</v>
      </c>
      <c r="E29" s="18">
        <f t="shared" si="7"/>
        <v>72</v>
      </c>
      <c r="F29" s="18">
        <f t="shared" si="7"/>
        <v>347</v>
      </c>
      <c r="G29" s="18">
        <f t="shared" si="7"/>
        <v>105</v>
      </c>
      <c r="H29" s="18">
        <f t="shared" si="7"/>
        <v>43</v>
      </c>
      <c r="I29" s="18">
        <f t="shared" si="7"/>
        <v>61</v>
      </c>
      <c r="J29" s="18">
        <f t="shared" si="7"/>
        <v>88</v>
      </c>
      <c r="K29" s="18">
        <f t="shared" si="7"/>
        <v>104</v>
      </c>
      <c r="L29" s="18">
        <f t="shared" si="7"/>
        <v>0</v>
      </c>
      <c r="M29" s="18">
        <f t="shared" si="1"/>
        <v>1066</v>
      </c>
    </row>
    <row r="30" spans="1:13" ht="30" customHeight="1" x14ac:dyDescent="0.25">
      <c r="A30" s="27">
        <v>0.1673611111111111</v>
      </c>
      <c r="B30" s="11" t="s">
        <v>290</v>
      </c>
      <c r="C30" s="11" t="s">
        <v>291</v>
      </c>
      <c r="D30" s="11">
        <v>246</v>
      </c>
      <c r="E30" s="11">
        <v>72</v>
      </c>
      <c r="F30" s="11">
        <v>346</v>
      </c>
      <c r="G30" s="11">
        <v>105</v>
      </c>
      <c r="H30" s="1">
        <v>37</v>
      </c>
      <c r="I30" s="1">
        <v>61</v>
      </c>
      <c r="J30" s="1">
        <v>88</v>
      </c>
      <c r="K30" s="1">
        <v>103</v>
      </c>
      <c r="L30" s="1"/>
      <c r="M30" s="25">
        <f t="shared" si="1"/>
        <v>1058</v>
      </c>
    </row>
    <row r="31" spans="1:13" x14ac:dyDescent="0.25">
      <c r="A31" s="27">
        <v>0.16805555555555554</v>
      </c>
      <c r="B31" s="11" t="s">
        <v>292</v>
      </c>
      <c r="C31" s="11" t="s">
        <v>293</v>
      </c>
      <c r="D31" s="11"/>
      <c r="E31" s="11"/>
      <c r="F31" s="11">
        <v>1</v>
      </c>
      <c r="G31" s="11"/>
      <c r="H31" s="1">
        <v>6</v>
      </c>
      <c r="I31" s="1"/>
      <c r="J31" s="1"/>
      <c r="K31" s="1">
        <v>1</v>
      </c>
      <c r="L31" s="1"/>
      <c r="M31" s="25">
        <f t="shared" si="1"/>
        <v>8</v>
      </c>
    </row>
    <row r="32" spans="1:13" x14ac:dyDescent="0.25">
      <c r="A32" s="27">
        <v>0.16874999999999998</v>
      </c>
      <c r="B32" s="11" t="s">
        <v>294</v>
      </c>
      <c r="C32" s="11" t="s">
        <v>295</v>
      </c>
      <c r="D32" s="11"/>
      <c r="E32" s="11"/>
      <c r="F32" s="11"/>
      <c r="G32" s="11"/>
      <c r="H32" s="1"/>
      <c r="I32" s="1"/>
      <c r="J32" s="1"/>
      <c r="K32" s="1"/>
      <c r="L32" s="1"/>
      <c r="M32" s="25">
        <f t="shared" si="1"/>
        <v>0</v>
      </c>
    </row>
    <row r="33" spans="1:13" x14ac:dyDescent="0.25">
      <c r="A33" s="27">
        <v>0.16944444444444443</v>
      </c>
      <c r="B33" s="11" t="s">
        <v>296</v>
      </c>
      <c r="C33" s="11" t="s">
        <v>297</v>
      </c>
      <c r="D33" s="11"/>
      <c r="E33" s="11"/>
      <c r="F33" s="11"/>
      <c r="G33" s="11"/>
      <c r="H33" s="1"/>
      <c r="I33" s="1"/>
      <c r="J33" s="1"/>
      <c r="K33" s="1"/>
      <c r="L33" s="1"/>
      <c r="M33" s="25">
        <f t="shared" si="1"/>
        <v>0</v>
      </c>
    </row>
    <row r="34" spans="1:13" ht="21" customHeight="1" x14ac:dyDescent="0.25">
      <c r="A34" s="11" t="s">
        <v>298</v>
      </c>
      <c r="B34" s="11" t="s">
        <v>299</v>
      </c>
      <c r="C34" s="11"/>
      <c r="D34" s="26">
        <v>3</v>
      </c>
      <c r="E34" s="26">
        <v>3</v>
      </c>
      <c r="F34" s="26">
        <v>2</v>
      </c>
      <c r="G34" s="26">
        <v>3</v>
      </c>
      <c r="H34" s="18">
        <v>11</v>
      </c>
      <c r="I34" s="18">
        <v>2</v>
      </c>
      <c r="J34" s="18"/>
      <c r="K34" s="18">
        <v>6</v>
      </c>
      <c r="L34" s="18"/>
      <c r="M34" s="18">
        <f t="shared" si="1"/>
        <v>30</v>
      </c>
    </row>
    <row r="35" spans="1:13" ht="23.25" x14ac:dyDescent="0.25">
      <c r="A35" s="19"/>
      <c r="M35" s="18">
        <f>SUM(M6+M29+M34)</f>
        <v>1104</v>
      </c>
    </row>
    <row r="51" spans="3:3" x14ac:dyDescent="0.25">
      <c r="C51">
        <f>SUM(C2:C50)</f>
        <v>0</v>
      </c>
    </row>
  </sheetData>
  <mergeCells count="3">
    <mergeCell ref="A2:A3"/>
    <mergeCell ref="B2:B3"/>
    <mergeCell ref="C2:C3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BDF05-FAEE-4D6C-B60A-74BB6A58A449}">
  <sheetPr codeName="Sheet20"/>
  <dimension ref="A1:B223"/>
  <sheetViews>
    <sheetView tabSelected="1" workbookViewId="0">
      <selection activeCell="A7" sqref="A7"/>
    </sheetView>
  </sheetViews>
  <sheetFormatPr defaultRowHeight="15" x14ac:dyDescent="0.25"/>
  <sheetData>
    <row r="1" spans="1:2" x14ac:dyDescent="0.25">
      <c r="A1" t="s">
        <v>26</v>
      </c>
      <c r="B1" t="s">
        <v>42</v>
      </c>
    </row>
    <row r="2" spans="1:2" x14ac:dyDescent="0.25">
      <c r="A2" t="s">
        <v>450</v>
      </c>
      <c r="B2" t="s">
        <v>175</v>
      </c>
    </row>
    <row r="3" spans="1:2" x14ac:dyDescent="0.25">
      <c r="A3" t="s">
        <v>451</v>
      </c>
      <c r="B3" t="s">
        <v>379</v>
      </c>
    </row>
    <row r="4" spans="1:2" x14ac:dyDescent="0.25">
      <c r="A4" t="s">
        <v>454</v>
      </c>
      <c r="B4" t="s">
        <v>380</v>
      </c>
    </row>
    <row r="5" spans="1:2" x14ac:dyDescent="0.25">
      <c r="A5" t="s">
        <v>452</v>
      </c>
      <c r="B5" t="s">
        <v>381</v>
      </c>
    </row>
    <row r="6" spans="1:2" x14ac:dyDescent="0.25">
      <c r="A6" t="s">
        <v>453</v>
      </c>
      <c r="B6" t="s">
        <v>382</v>
      </c>
    </row>
    <row r="7" spans="1:2" x14ac:dyDescent="0.25">
      <c r="B7" t="s">
        <v>383</v>
      </c>
    </row>
    <row r="8" spans="1:2" x14ac:dyDescent="0.25">
      <c r="B8" t="s">
        <v>384</v>
      </c>
    </row>
    <row r="9" spans="1:2" x14ac:dyDescent="0.25">
      <c r="B9" t="s">
        <v>385</v>
      </c>
    </row>
    <row r="10" spans="1:2" x14ac:dyDescent="0.25">
      <c r="B10" t="s">
        <v>386</v>
      </c>
    </row>
    <row r="11" spans="1:2" x14ac:dyDescent="0.25">
      <c r="B11" t="s">
        <v>183</v>
      </c>
    </row>
    <row r="12" spans="1:2" x14ac:dyDescent="0.25">
      <c r="B12" t="s">
        <v>387</v>
      </c>
    </row>
    <row r="13" spans="1:2" x14ac:dyDescent="0.25">
      <c r="B13" t="s">
        <v>374</v>
      </c>
    </row>
    <row r="14" spans="1:2" x14ac:dyDescent="0.25">
      <c r="B14" t="s">
        <v>214</v>
      </c>
    </row>
    <row r="15" spans="1:2" x14ac:dyDescent="0.25">
      <c r="B15" t="s">
        <v>176</v>
      </c>
    </row>
    <row r="16" spans="1:2" x14ac:dyDescent="0.25">
      <c r="B16" t="s">
        <v>388</v>
      </c>
    </row>
    <row r="17" spans="2:2" x14ac:dyDescent="0.25">
      <c r="B17" t="s">
        <v>217</v>
      </c>
    </row>
    <row r="18" spans="2:2" x14ac:dyDescent="0.25">
      <c r="B18" t="s">
        <v>364</v>
      </c>
    </row>
    <row r="19" spans="2:2" x14ac:dyDescent="0.25">
      <c r="B19" t="s">
        <v>216</v>
      </c>
    </row>
    <row r="20" spans="2:2" x14ac:dyDescent="0.25">
      <c r="B20" t="s">
        <v>212</v>
      </c>
    </row>
    <row r="21" spans="2:2" x14ac:dyDescent="0.25">
      <c r="B21" t="s">
        <v>389</v>
      </c>
    </row>
    <row r="22" spans="2:2" x14ac:dyDescent="0.25">
      <c r="B22" t="s">
        <v>372</v>
      </c>
    </row>
    <row r="23" spans="2:2" x14ac:dyDescent="0.25">
      <c r="B23" t="s">
        <v>45</v>
      </c>
    </row>
    <row r="24" spans="2:2" x14ac:dyDescent="0.25">
      <c r="B24" t="s">
        <v>305</v>
      </c>
    </row>
    <row r="25" spans="2:2" x14ac:dyDescent="0.25">
      <c r="B25" t="s">
        <v>373</v>
      </c>
    </row>
    <row r="26" spans="2:2" x14ac:dyDescent="0.25">
      <c r="B26" t="s">
        <v>390</v>
      </c>
    </row>
    <row r="27" spans="2:2" x14ac:dyDescent="0.25">
      <c r="B27" t="s">
        <v>307</v>
      </c>
    </row>
    <row r="28" spans="2:2" x14ac:dyDescent="0.25">
      <c r="B28" t="s">
        <v>306</v>
      </c>
    </row>
    <row r="29" spans="2:2" x14ac:dyDescent="0.25">
      <c r="B29" t="s">
        <v>376</v>
      </c>
    </row>
    <row r="30" spans="2:2" x14ac:dyDescent="0.25">
      <c r="B30" t="s">
        <v>391</v>
      </c>
    </row>
    <row r="31" spans="2:2" x14ac:dyDescent="0.25">
      <c r="B31" t="s">
        <v>392</v>
      </c>
    </row>
    <row r="32" spans="2:2" x14ac:dyDescent="0.25">
      <c r="B32" t="s">
        <v>393</v>
      </c>
    </row>
    <row r="33" spans="1:2" x14ac:dyDescent="0.25">
      <c r="B33" t="s">
        <v>321</v>
      </c>
    </row>
    <row r="34" spans="1:2" x14ac:dyDescent="0.25">
      <c r="B34" t="s">
        <v>394</v>
      </c>
    </row>
    <row r="35" spans="1:2" x14ac:dyDescent="0.25">
      <c r="B35" t="s">
        <v>155</v>
      </c>
    </row>
    <row r="36" spans="1:2" x14ac:dyDescent="0.25">
      <c r="B36" t="s">
        <v>232</v>
      </c>
    </row>
    <row r="37" spans="1:2" x14ac:dyDescent="0.25">
      <c r="B37" t="s">
        <v>156</v>
      </c>
    </row>
    <row r="38" spans="1:2" x14ac:dyDescent="0.25">
      <c r="B38" t="s">
        <v>360</v>
      </c>
    </row>
    <row r="39" spans="1:2" x14ac:dyDescent="0.25">
      <c r="B39" t="s">
        <v>395</v>
      </c>
    </row>
    <row r="40" spans="1:2" x14ac:dyDescent="0.25">
      <c r="B40" t="s">
        <v>396</v>
      </c>
    </row>
    <row r="41" spans="1:2" x14ac:dyDescent="0.25">
      <c r="A41" t="s">
        <v>228</v>
      </c>
      <c r="B41" t="s">
        <v>397</v>
      </c>
    </row>
    <row r="42" spans="1:2" x14ac:dyDescent="0.25">
      <c r="B42" t="s">
        <v>369</v>
      </c>
    </row>
    <row r="43" spans="1:2" x14ac:dyDescent="0.25">
      <c r="B43" t="s">
        <v>398</v>
      </c>
    </row>
    <row r="44" spans="1:2" x14ac:dyDescent="0.25">
      <c r="B44" t="s">
        <v>180</v>
      </c>
    </row>
    <row r="45" spans="1:2" x14ac:dyDescent="0.25">
      <c r="B45" t="s">
        <v>195</v>
      </c>
    </row>
    <row r="46" spans="1:2" x14ac:dyDescent="0.25">
      <c r="B46" t="s">
        <v>218</v>
      </c>
    </row>
    <row r="47" spans="1:2" x14ac:dyDescent="0.25">
      <c r="B47" t="s">
        <v>326</v>
      </c>
    </row>
    <row r="48" spans="1:2" x14ac:dyDescent="0.25">
      <c r="B48" t="s">
        <v>197</v>
      </c>
    </row>
    <row r="49" spans="2:2" x14ac:dyDescent="0.25">
      <c r="B49" t="s">
        <v>377</v>
      </c>
    </row>
    <row r="50" spans="2:2" x14ac:dyDescent="0.25">
      <c r="B50" t="s">
        <v>352</v>
      </c>
    </row>
    <row r="51" spans="2:2" x14ac:dyDescent="0.25">
      <c r="B51" t="s">
        <v>186</v>
      </c>
    </row>
    <row r="52" spans="2:2" x14ac:dyDescent="0.25">
      <c r="B52" t="s">
        <v>208</v>
      </c>
    </row>
    <row r="53" spans="2:2" x14ac:dyDescent="0.25">
      <c r="B53" t="s">
        <v>363</v>
      </c>
    </row>
    <row r="54" spans="2:2" x14ac:dyDescent="0.25">
      <c r="B54" t="s">
        <v>330</v>
      </c>
    </row>
    <row r="55" spans="2:2" x14ac:dyDescent="0.25">
      <c r="B55" t="s">
        <v>215</v>
      </c>
    </row>
    <row r="56" spans="2:2" x14ac:dyDescent="0.25">
      <c r="B56" t="s">
        <v>399</v>
      </c>
    </row>
    <row r="57" spans="2:2" x14ac:dyDescent="0.25">
      <c r="B57" t="s">
        <v>211</v>
      </c>
    </row>
    <row r="58" spans="2:2" x14ac:dyDescent="0.25">
      <c r="B58" t="s">
        <v>329</v>
      </c>
    </row>
    <row r="59" spans="2:2" x14ac:dyDescent="0.25">
      <c r="B59" t="s">
        <v>400</v>
      </c>
    </row>
    <row r="60" spans="2:2" x14ac:dyDescent="0.25">
      <c r="B60" t="s">
        <v>368</v>
      </c>
    </row>
    <row r="61" spans="2:2" x14ac:dyDescent="0.25">
      <c r="B61" t="s">
        <v>157</v>
      </c>
    </row>
    <row r="62" spans="2:2" x14ac:dyDescent="0.25">
      <c r="B62" t="s">
        <v>90</v>
      </c>
    </row>
    <row r="63" spans="2:2" x14ac:dyDescent="0.25">
      <c r="B63" t="s">
        <v>333</v>
      </c>
    </row>
    <row r="64" spans="2:2" x14ac:dyDescent="0.25">
      <c r="B64" t="s">
        <v>193</v>
      </c>
    </row>
    <row r="65" spans="2:2" x14ac:dyDescent="0.25">
      <c r="B65" t="s">
        <v>335</v>
      </c>
    </row>
    <row r="66" spans="2:2" x14ac:dyDescent="0.25">
      <c r="B66" t="s">
        <v>174</v>
      </c>
    </row>
    <row r="67" spans="2:2" x14ac:dyDescent="0.25">
      <c r="B67" t="s">
        <v>224</v>
      </c>
    </row>
    <row r="68" spans="2:2" x14ac:dyDescent="0.25">
      <c r="B68" t="s">
        <v>401</v>
      </c>
    </row>
    <row r="69" spans="2:2" x14ac:dyDescent="0.25">
      <c r="B69" t="s">
        <v>46</v>
      </c>
    </row>
    <row r="70" spans="2:2" x14ac:dyDescent="0.25">
      <c r="B70" t="s">
        <v>158</v>
      </c>
    </row>
    <row r="71" spans="2:2" x14ac:dyDescent="0.25">
      <c r="B71" t="s">
        <v>188</v>
      </c>
    </row>
    <row r="72" spans="2:2" x14ac:dyDescent="0.25">
      <c r="B72" t="s">
        <v>44</v>
      </c>
    </row>
    <row r="73" spans="2:2" x14ac:dyDescent="0.25">
      <c r="B73" t="s">
        <v>57</v>
      </c>
    </row>
    <row r="74" spans="2:2" x14ac:dyDescent="0.25">
      <c r="B74" t="s">
        <v>194</v>
      </c>
    </row>
    <row r="75" spans="2:2" x14ac:dyDescent="0.25">
      <c r="B75" t="s">
        <v>402</v>
      </c>
    </row>
    <row r="76" spans="2:2" x14ac:dyDescent="0.25">
      <c r="B76" t="s">
        <v>403</v>
      </c>
    </row>
    <row r="77" spans="2:2" x14ac:dyDescent="0.25">
      <c r="B77" t="s">
        <v>159</v>
      </c>
    </row>
    <row r="78" spans="2:2" x14ac:dyDescent="0.25">
      <c r="B78" t="s">
        <v>404</v>
      </c>
    </row>
    <row r="79" spans="2:2" x14ac:dyDescent="0.25">
      <c r="B79" t="s">
        <v>405</v>
      </c>
    </row>
    <row r="80" spans="2:2" x14ac:dyDescent="0.25">
      <c r="B80" t="s">
        <v>406</v>
      </c>
    </row>
    <row r="81" spans="2:2" x14ac:dyDescent="0.25">
      <c r="B81" t="s">
        <v>338</v>
      </c>
    </row>
    <row r="82" spans="2:2" x14ac:dyDescent="0.25">
      <c r="B82" t="s">
        <v>160</v>
      </c>
    </row>
    <row r="83" spans="2:2" x14ac:dyDescent="0.25">
      <c r="B83" t="s">
        <v>449</v>
      </c>
    </row>
    <row r="84" spans="2:2" x14ac:dyDescent="0.25">
      <c r="B84" t="s">
        <v>179</v>
      </c>
    </row>
    <row r="85" spans="2:2" x14ac:dyDescent="0.25">
      <c r="B85" t="s">
        <v>38</v>
      </c>
    </row>
    <row r="86" spans="2:2" x14ac:dyDescent="0.25">
      <c r="B86" t="s">
        <v>43</v>
      </c>
    </row>
    <row r="87" spans="2:2" x14ac:dyDescent="0.25">
      <c r="B87" t="s">
        <v>49</v>
      </c>
    </row>
    <row r="88" spans="2:2" x14ac:dyDescent="0.25">
      <c r="B88" t="s">
        <v>231</v>
      </c>
    </row>
    <row r="89" spans="2:2" x14ac:dyDescent="0.25">
      <c r="B89" t="s">
        <v>59</v>
      </c>
    </row>
    <row r="90" spans="2:2" x14ac:dyDescent="0.25">
      <c r="B90" t="s">
        <v>320</v>
      </c>
    </row>
    <row r="91" spans="2:2" x14ac:dyDescent="0.25">
      <c r="B91" t="s">
        <v>172</v>
      </c>
    </row>
    <row r="92" spans="2:2" x14ac:dyDescent="0.25">
      <c r="B92" t="s">
        <v>170</v>
      </c>
    </row>
    <row r="93" spans="2:2" x14ac:dyDescent="0.25">
      <c r="B93" t="s">
        <v>351</v>
      </c>
    </row>
    <row r="94" spans="2:2" x14ac:dyDescent="0.25">
      <c r="B94" t="s">
        <v>407</v>
      </c>
    </row>
    <row r="95" spans="2:2" x14ac:dyDescent="0.25">
      <c r="B95" t="s">
        <v>196</v>
      </c>
    </row>
    <row r="96" spans="2:2" x14ac:dyDescent="0.25">
      <c r="B96" t="s">
        <v>213</v>
      </c>
    </row>
    <row r="97" spans="2:2" x14ac:dyDescent="0.25">
      <c r="B97" t="s">
        <v>185</v>
      </c>
    </row>
    <row r="98" spans="2:2" x14ac:dyDescent="0.25">
      <c r="B98" t="s">
        <v>310</v>
      </c>
    </row>
    <row r="99" spans="2:2" x14ac:dyDescent="0.25">
      <c r="B99" t="s">
        <v>346</v>
      </c>
    </row>
    <row r="100" spans="2:2" x14ac:dyDescent="0.25">
      <c r="B100" t="s">
        <v>408</v>
      </c>
    </row>
    <row r="101" spans="2:2" x14ac:dyDescent="0.25">
      <c r="B101" t="s">
        <v>409</v>
      </c>
    </row>
    <row r="102" spans="2:2" x14ac:dyDescent="0.25">
      <c r="B102" t="s">
        <v>410</v>
      </c>
    </row>
    <row r="103" spans="2:2" x14ac:dyDescent="0.25">
      <c r="B103" t="s">
        <v>337</v>
      </c>
    </row>
    <row r="104" spans="2:2" x14ac:dyDescent="0.25">
      <c r="B104" t="s">
        <v>362</v>
      </c>
    </row>
    <row r="105" spans="2:2" x14ac:dyDescent="0.25">
      <c r="B105" t="s">
        <v>411</v>
      </c>
    </row>
    <row r="106" spans="2:2" x14ac:dyDescent="0.25">
      <c r="B106" t="s">
        <v>412</v>
      </c>
    </row>
    <row r="107" spans="2:2" x14ac:dyDescent="0.25">
      <c r="B107" t="s">
        <v>191</v>
      </c>
    </row>
    <row r="108" spans="2:2" x14ac:dyDescent="0.25">
      <c r="B108" t="s">
        <v>229</v>
      </c>
    </row>
    <row r="109" spans="2:2" x14ac:dyDescent="0.25">
      <c r="B109" t="s">
        <v>355</v>
      </c>
    </row>
    <row r="110" spans="2:2" x14ac:dyDescent="0.25">
      <c r="B110" t="s">
        <v>169</v>
      </c>
    </row>
    <row r="111" spans="2:2" x14ac:dyDescent="0.25">
      <c r="B111" t="s">
        <v>323</v>
      </c>
    </row>
    <row r="112" spans="2:2" x14ac:dyDescent="0.25">
      <c r="B112" t="s">
        <v>413</v>
      </c>
    </row>
    <row r="113" spans="2:2" x14ac:dyDescent="0.25">
      <c r="B113" t="s">
        <v>80</v>
      </c>
    </row>
    <row r="114" spans="2:2" x14ac:dyDescent="0.25">
      <c r="B114" t="s">
        <v>308</v>
      </c>
    </row>
    <row r="115" spans="2:2" x14ac:dyDescent="0.25">
      <c r="B115" t="s">
        <v>202</v>
      </c>
    </row>
    <row r="116" spans="2:2" x14ac:dyDescent="0.25">
      <c r="B116" t="s">
        <v>206</v>
      </c>
    </row>
    <row r="117" spans="2:2" x14ac:dyDescent="0.25">
      <c r="B117" t="s">
        <v>414</v>
      </c>
    </row>
    <row r="118" spans="2:2" x14ac:dyDescent="0.25">
      <c r="B118" t="s">
        <v>361</v>
      </c>
    </row>
    <row r="119" spans="2:2" x14ac:dyDescent="0.25">
      <c r="B119" t="s">
        <v>47</v>
      </c>
    </row>
    <row r="120" spans="2:2" x14ac:dyDescent="0.25">
      <c r="B120" t="s">
        <v>60</v>
      </c>
    </row>
    <row r="121" spans="2:2" x14ac:dyDescent="0.25">
      <c r="B121" t="s">
        <v>415</v>
      </c>
    </row>
    <row r="122" spans="2:2" x14ac:dyDescent="0.25">
      <c r="B122" t="s">
        <v>230</v>
      </c>
    </row>
    <row r="123" spans="2:2" x14ac:dyDescent="0.25">
      <c r="B123" t="s">
        <v>416</v>
      </c>
    </row>
    <row r="124" spans="2:2" x14ac:dyDescent="0.25">
      <c r="B124" t="s">
        <v>173</v>
      </c>
    </row>
    <row r="125" spans="2:2" x14ac:dyDescent="0.25">
      <c r="B125" t="s">
        <v>341</v>
      </c>
    </row>
    <row r="126" spans="2:2" x14ac:dyDescent="0.25">
      <c r="B126" t="s">
        <v>417</v>
      </c>
    </row>
    <row r="127" spans="2:2" x14ac:dyDescent="0.25">
      <c r="B127" t="s">
        <v>370</v>
      </c>
    </row>
    <row r="128" spans="2:2" x14ac:dyDescent="0.25">
      <c r="B128" t="s">
        <v>302</v>
      </c>
    </row>
    <row r="129" spans="1:2" x14ac:dyDescent="0.25">
      <c r="B129" t="s">
        <v>55</v>
      </c>
    </row>
    <row r="130" spans="1:2" x14ac:dyDescent="0.25">
      <c r="B130" t="s">
        <v>418</v>
      </c>
    </row>
    <row r="131" spans="1:2" x14ac:dyDescent="0.25">
      <c r="B131" t="s">
        <v>419</v>
      </c>
    </row>
    <row r="132" spans="1:2" x14ac:dyDescent="0.25">
      <c r="B132" t="s">
        <v>53</v>
      </c>
    </row>
    <row r="133" spans="1:2" x14ac:dyDescent="0.25">
      <c r="B133" t="s">
        <v>328</v>
      </c>
    </row>
    <row r="134" spans="1:2" x14ac:dyDescent="0.25">
      <c r="B134" t="s">
        <v>420</v>
      </c>
    </row>
    <row r="135" spans="1:2" x14ac:dyDescent="0.25">
      <c r="B135" t="s">
        <v>421</v>
      </c>
    </row>
    <row r="136" spans="1:2" x14ac:dyDescent="0.25">
      <c r="B136" t="s">
        <v>422</v>
      </c>
    </row>
    <row r="137" spans="1:2" x14ac:dyDescent="0.25">
      <c r="B137" t="s">
        <v>209</v>
      </c>
    </row>
    <row r="138" spans="1:2" x14ac:dyDescent="0.25">
      <c r="B138" t="s">
        <v>353</v>
      </c>
    </row>
    <row r="139" spans="1:2" x14ac:dyDescent="0.25">
      <c r="B139" t="s">
        <v>203</v>
      </c>
    </row>
    <row r="140" spans="1:2" x14ac:dyDescent="0.25">
      <c r="B140" t="s">
        <v>378</v>
      </c>
    </row>
    <row r="141" spans="1:2" x14ac:dyDescent="0.25">
      <c r="B141" t="s">
        <v>366</v>
      </c>
    </row>
    <row r="142" spans="1:2" x14ac:dyDescent="0.25">
      <c r="A142" t="s">
        <v>27</v>
      </c>
      <c r="B142" t="s">
        <v>37</v>
      </c>
    </row>
    <row r="143" spans="1:2" x14ac:dyDescent="0.25">
      <c r="B143" t="s">
        <v>48</v>
      </c>
    </row>
    <row r="144" spans="1:2" x14ac:dyDescent="0.25">
      <c r="B144" t="s">
        <v>317</v>
      </c>
    </row>
    <row r="145" spans="2:2" x14ac:dyDescent="0.25">
      <c r="B145" t="s">
        <v>354</v>
      </c>
    </row>
    <row r="146" spans="2:2" x14ac:dyDescent="0.25">
      <c r="B146" t="s">
        <v>367</v>
      </c>
    </row>
    <row r="147" spans="2:2" x14ac:dyDescent="0.25">
      <c r="B147" t="s">
        <v>184</v>
      </c>
    </row>
    <row r="148" spans="2:2" x14ac:dyDescent="0.25">
      <c r="B148" t="s">
        <v>200</v>
      </c>
    </row>
    <row r="149" spans="2:2" x14ac:dyDescent="0.25">
      <c r="B149" t="s">
        <v>199</v>
      </c>
    </row>
    <row r="150" spans="2:2" x14ac:dyDescent="0.25">
      <c r="B150" t="s">
        <v>311</v>
      </c>
    </row>
    <row r="151" spans="2:2" x14ac:dyDescent="0.25">
      <c r="B151" t="s">
        <v>51</v>
      </c>
    </row>
    <row r="152" spans="2:2" x14ac:dyDescent="0.25">
      <c r="B152" t="s">
        <v>423</v>
      </c>
    </row>
    <row r="153" spans="2:2" x14ac:dyDescent="0.25">
      <c r="B153" t="s">
        <v>343</v>
      </c>
    </row>
    <row r="154" spans="2:2" x14ac:dyDescent="0.25">
      <c r="B154" t="s">
        <v>161</v>
      </c>
    </row>
    <row r="155" spans="2:2" x14ac:dyDescent="0.25">
      <c r="B155" t="s">
        <v>192</v>
      </c>
    </row>
    <row r="156" spans="2:2" x14ac:dyDescent="0.25">
      <c r="B156" t="s">
        <v>178</v>
      </c>
    </row>
    <row r="157" spans="2:2" x14ac:dyDescent="0.25">
      <c r="B157" t="s">
        <v>339</v>
      </c>
    </row>
    <row r="158" spans="2:2" x14ac:dyDescent="0.25">
      <c r="B158" t="s">
        <v>350</v>
      </c>
    </row>
    <row r="159" spans="2:2" x14ac:dyDescent="0.25">
      <c r="B159" t="s">
        <v>424</v>
      </c>
    </row>
    <row r="160" spans="2:2" x14ac:dyDescent="0.25">
      <c r="B160" t="s">
        <v>359</v>
      </c>
    </row>
    <row r="161" spans="2:2" x14ac:dyDescent="0.25">
      <c r="B161" t="s">
        <v>425</v>
      </c>
    </row>
    <row r="162" spans="2:2" x14ac:dyDescent="0.25">
      <c r="B162" t="s">
        <v>365</v>
      </c>
    </row>
    <row r="163" spans="2:2" x14ac:dyDescent="0.25">
      <c r="B163" t="s">
        <v>177</v>
      </c>
    </row>
    <row r="164" spans="2:2" x14ac:dyDescent="0.25">
      <c r="B164" t="s">
        <v>342</v>
      </c>
    </row>
    <row r="165" spans="2:2" x14ac:dyDescent="0.25">
      <c r="B165" t="s">
        <v>426</v>
      </c>
    </row>
    <row r="166" spans="2:2" x14ac:dyDescent="0.25">
      <c r="B166" t="s">
        <v>427</v>
      </c>
    </row>
    <row r="167" spans="2:2" x14ac:dyDescent="0.25">
      <c r="B167" t="s">
        <v>428</v>
      </c>
    </row>
    <row r="168" spans="2:2" x14ac:dyDescent="0.25">
      <c r="B168" t="s">
        <v>349</v>
      </c>
    </row>
    <row r="169" spans="2:2" x14ac:dyDescent="0.25">
      <c r="B169" t="s">
        <v>168</v>
      </c>
    </row>
    <row r="170" spans="2:2" x14ac:dyDescent="0.25">
      <c r="B170" t="s">
        <v>375</v>
      </c>
    </row>
    <row r="171" spans="2:2" x14ac:dyDescent="0.25">
      <c r="B171" t="s">
        <v>61</v>
      </c>
    </row>
    <row r="172" spans="2:2" x14ac:dyDescent="0.25">
      <c r="B172" t="s">
        <v>340</v>
      </c>
    </row>
    <row r="173" spans="2:2" x14ac:dyDescent="0.25">
      <c r="B173" t="s">
        <v>162</v>
      </c>
    </row>
    <row r="174" spans="2:2" x14ac:dyDescent="0.25">
      <c r="B174" t="s">
        <v>314</v>
      </c>
    </row>
    <row r="175" spans="2:2" x14ac:dyDescent="0.25">
      <c r="B175" t="s">
        <v>371</v>
      </c>
    </row>
    <row r="176" spans="2:2" x14ac:dyDescent="0.25">
      <c r="B176" t="s">
        <v>429</v>
      </c>
    </row>
    <row r="177" spans="1:2" x14ac:dyDescent="0.25">
      <c r="B177" t="s">
        <v>210</v>
      </c>
    </row>
    <row r="178" spans="1:2" x14ac:dyDescent="0.25">
      <c r="B178" t="s">
        <v>430</v>
      </c>
    </row>
    <row r="179" spans="1:2" x14ac:dyDescent="0.25">
      <c r="B179" t="s">
        <v>336</v>
      </c>
    </row>
    <row r="180" spans="1:2" x14ac:dyDescent="0.25">
      <c r="B180" t="s">
        <v>163</v>
      </c>
    </row>
    <row r="181" spans="1:2" x14ac:dyDescent="0.25">
      <c r="B181" t="s">
        <v>303</v>
      </c>
    </row>
    <row r="182" spans="1:2" x14ac:dyDescent="0.25">
      <c r="B182" t="s">
        <v>204</v>
      </c>
    </row>
    <row r="183" spans="1:2" x14ac:dyDescent="0.25">
      <c r="B183" t="s">
        <v>304</v>
      </c>
    </row>
    <row r="184" spans="1:2" x14ac:dyDescent="0.25">
      <c r="B184" t="s">
        <v>322</v>
      </c>
    </row>
    <row r="185" spans="1:2" x14ac:dyDescent="0.25">
      <c r="A185" t="s">
        <v>28</v>
      </c>
      <c r="B185" t="s">
        <v>36</v>
      </c>
    </row>
    <row r="186" spans="1:2" x14ac:dyDescent="0.25">
      <c r="B186" t="s">
        <v>344</v>
      </c>
    </row>
    <row r="187" spans="1:2" x14ac:dyDescent="0.25">
      <c r="B187" t="s">
        <v>431</v>
      </c>
    </row>
    <row r="188" spans="1:2" x14ac:dyDescent="0.25">
      <c r="B188" t="s">
        <v>432</v>
      </c>
    </row>
    <row r="189" spans="1:2" x14ac:dyDescent="0.25">
      <c r="B189" t="s">
        <v>50</v>
      </c>
    </row>
    <row r="190" spans="1:2" x14ac:dyDescent="0.25">
      <c r="B190" t="s">
        <v>219</v>
      </c>
    </row>
    <row r="191" spans="1:2" x14ac:dyDescent="0.25">
      <c r="B191" t="s">
        <v>181</v>
      </c>
    </row>
    <row r="192" spans="1:2" x14ac:dyDescent="0.25">
      <c r="B192" t="s">
        <v>345</v>
      </c>
    </row>
    <row r="193" spans="2:2" x14ac:dyDescent="0.25">
      <c r="B193" t="s">
        <v>201</v>
      </c>
    </row>
    <row r="194" spans="2:2" x14ac:dyDescent="0.25">
      <c r="B194" t="s">
        <v>207</v>
      </c>
    </row>
    <row r="195" spans="2:2" x14ac:dyDescent="0.25">
      <c r="B195" t="s">
        <v>433</v>
      </c>
    </row>
    <row r="196" spans="2:2" x14ac:dyDescent="0.25">
      <c r="B196" t="s">
        <v>164</v>
      </c>
    </row>
    <row r="197" spans="2:2" x14ac:dyDescent="0.25">
      <c r="B197" t="s">
        <v>347</v>
      </c>
    </row>
    <row r="198" spans="2:2" x14ac:dyDescent="0.25">
      <c r="B198" t="s">
        <v>225</v>
      </c>
    </row>
    <row r="199" spans="2:2" x14ac:dyDescent="0.25">
      <c r="B199" t="s">
        <v>121</v>
      </c>
    </row>
    <row r="200" spans="2:2" x14ac:dyDescent="0.25">
      <c r="B200" t="s">
        <v>165</v>
      </c>
    </row>
    <row r="201" spans="2:2" x14ac:dyDescent="0.25">
      <c r="B201" t="s">
        <v>356</v>
      </c>
    </row>
    <row r="202" spans="2:2" x14ac:dyDescent="0.25">
      <c r="B202" t="s">
        <v>348</v>
      </c>
    </row>
    <row r="203" spans="2:2" x14ac:dyDescent="0.25">
      <c r="B203" t="s">
        <v>190</v>
      </c>
    </row>
    <row r="204" spans="2:2" x14ac:dyDescent="0.25">
      <c r="B204" t="s">
        <v>223</v>
      </c>
    </row>
    <row r="205" spans="2:2" x14ac:dyDescent="0.25">
      <c r="B205" t="s">
        <v>171</v>
      </c>
    </row>
    <row r="206" spans="2:2" x14ac:dyDescent="0.25">
      <c r="B206" t="s">
        <v>198</v>
      </c>
    </row>
    <row r="207" spans="2:2" x14ac:dyDescent="0.25">
      <c r="B207" t="s">
        <v>434</v>
      </c>
    </row>
    <row r="208" spans="2:2" x14ac:dyDescent="0.25">
      <c r="B208" t="s">
        <v>166</v>
      </c>
    </row>
    <row r="209" spans="1:2" x14ac:dyDescent="0.25">
      <c r="B209" t="s">
        <v>435</v>
      </c>
    </row>
    <row r="210" spans="1:2" x14ac:dyDescent="0.25">
      <c r="B210" t="s">
        <v>436</v>
      </c>
    </row>
    <row r="211" spans="1:2" x14ac:dyDescent="0.25">
      <c r="B211" t="s">
        <v>437</v>
      </c>
    </row>
    <row r="212" spans="1:2" x14ac:dyDescent="0.25">
      <c r="B212" t="s">
        <v>438</v>
      </c>
    </row>
    <row r="213" spans="1:2" x14ac:dyDescent="0.25">
      <c r="B213" t="s">
        <v>182</v>
      </c>
    </row>
    <row r="214" spans="1:2" x14ac:dyDescent="0.25">
      <c r="B214" t="s">
        <v>439</v>
      </c>
    </row>
    <row r="215" spans="1:2" x14ac:dyDescent="0.25">
      <c r="B215" t="s">
        <v>334</v>
      </c>
    </row>
    <row r="216" spans="1:2" x14ac:dyDescent="0.25">
      <c r="B216" t="s">
        <v>187</v>
      </c>
    </row>
    <row r="217" spans="1:2" x14ac:dyDescent="0.25">
      <c r="B217" t="s">
        <v>167</v>
      </c>
    </row>
    <row r="218" spans="1:2" x14ac:dyDescent="0.25">
      <c r="B218" t="s">
        <v>358</v>
      </c>
    </row>
    <row r="219" spans="1:2" x14ac:dyDescent="0.25">
      <c r="B219" t="s">
        <v>189</v>
      </c>
    </row>
    <row r="220" spans="1:2" x14ac:dyDescent="0.25">
      <c r="B220" t="s">
        <v>309</v>
      </c>
    </row>
    <row r="221" spans="1:2" x14ac:dyDescent="0.25">
      <c r="B221" t="s">
        <v>205</v>
      </c>
    </row>
    <row r="222" spans="1:2" x14ac:dyDescent="0.25">
      <c r="B222" t="s">
        <v>357</v>
      </c>
    </row>
    <row r="223" spans="1:2" x14ac:dyDescent="0.25">
      <c r="A223" t="s">
        <v>29</v>
      </c>
      <c r="B223" t="s">
        <v>39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F2F-1CE2-4B52-9934-DDC53CF07694}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workbookViewId="0">
      <selection activeCell="G16" sqref="G16"/>
    </sheetView>
  </sheetViews>
  <sheetFormatPr defaultRowHeight="15" x14ac:dyDescent="0.25"/>
  <cols>
    <col min="1" max="1" width="51.85546875" customWidth="1"/>
    <col min="2" max="2" width="24.28515625" customWidth="1"/>
  </cols>
  <sheetData>
    <row r="1" spans="1:2" ht="21" x14ac:dyDescent="0.25">
      <c r="A1" s="39"/>
      <c r="B1" s="39"/>
    </row>
    <row r="2" spans="1:2" ht="23.25" x14ac:dyDescent="0.35">
      <c r="A2" s="15" t="s">
        <v>26</v>
      </c>
      <c r="B2" s="16" t="s">
        <v>42</v>
      </c>
    </row>
    <row r="3" spans="1:2" x14ac:dyDescent="0.25">
      <c r="A3" s="4"/>
      <c r="B3" s="1" t="s">
        <v>312</v>
      </c>
    </row>
    <row r="4" spans="1:2" x14ac:dyDescent="0.25">
      <c r="A4" s="1"/>
      <c r="B4" s="1" t="s">
        <v>313</v>
      </c>
    </row>
    <row r="5" spans="1:2" ht="30" x14ac:dyDescent="0.25">
      <c r="A5" s="4"/>
      <c r="B5" s="4" t="s">
        <v>315</v>
      </c>
    </row>
    <row r="6" spans="1:2" x14ac:dyDescent="0.25">
      <c r="A6" s="1"/>
      <c r="B6" s="1" t="s">
        <v>443</v>
      </c>
    </row>
    <row r="7" spans="1:2" x14ac:dyDescent="0.25">
      <c r="A7" s="1"/>
      <c r="B7" s="1" t="s">
        <v>316</v>
      </c>
    </row>
    <row r="8" spans="1:2" x14ac:dyDescent="0.25">
      <c r="A8" s="1"/>
      <c r="B8" s="1" t="s">
        <v>227</v>
      </c>
    </row>
    <row r="9" spans="1:2" x14ac:dyDescent="0.25">
      <c r="A9" s="1"/>
      <c r="B9" s="1" t="s">
        <v>440</v>
      </c>
    </row>
    <row r="10" spans="1:2" x14ac:dyDescent="0.25">
      <c r="A10" s="1"/>
      <c r="B10" s="1" t="s">
        <v>230</v>
      </c>
    </row>
    <row r="11" spans="1:2" x14ac:dyDescent="0.25">
      <c r="A11" s="1"/>
      <c r="B11" s="1" t="s">
        <v>39</v>
      </c>
    </row>
    <row r="12" spans="1:2" x14ac:dyDescent="0.25">
      <c r="A12" s="1"/>
      <c r="B12" s="1" t="s">
        <v>317</v>
      </c>
    </row>
    <row r="13" spans="1:2" x14ac:dyDescent="0.25">
      <c r="A13" s="1"/>
      <c r="B13" s="1" t="s">
        <v>52</v>
      </c>
    </row>
    <row r="14" spans="1:2" x14ac:dyDescent="0.25">
      <c r="A14" s="4"/>
      <c r="B14" s="1" t="s">
        <v>318</v>
      </c>
    </row>
    <row r="15" spans="1:2" x14ac:dyDescent="0.25">
      <c r="A15" s="1"/>
      <c r="B15" s="1" t="s">
        <v>441</v>
      </c>
    </row>
    <row r="16" spans="1:2" ht="30" x14ac:dyDescent="0.25">
      <c r="A16" s="4"/>
      <c r="B16" s="4" t="s">
        <v>442</v>
      </c>
    </row>
    <row r="17" spans="1:2" x14ac:dyDescent="0.25">
      <c r="A17" s="4"/>
      <c r="B17" s="4" t="s">
        <v>397</v>
      </c>
    </row>
    <row r="18" spans="1:2" ht="30" x14ac:dyDescent="0.25">
      <c r="A18" s="4"/>
      <c r="B18" s="4" t="s">
        <v>324</v>
      </c>
    </row>
    <row r="19" spans="1:2" x14ac:dyDescent="0.25">
      <c r="A19" s="1"/>
      <c r="B19" s="1" t="s">
        <v>226</v>
      </c>
    </row>
    <row r="20" spans="1:2" x14ac:dyDescent="0.25">
      <c r="A20" s="1"/>
      <c r="B20" s="1" t="s">
        <v>319</v>
      </c>
    </row>
    <row r="21" spans="1:2" x14ac:dyDescent="0.25">
      <c r="A21" s="1"/>
      <c r="B21" s="1" t="s">
        <v>39</v>
      </c>
    </row>
    <row r="22" spans="1:2" x14ac:dyDescent="0.25">
      <c r="A22" s="1"/>
      <c r="B22" s="1" t="s">
        <v>221</v>
      </c>
    </row>
    <row r="23" spans="1:2" ht="30" x14ac:dyDescent="0.25">
      <c r="A23" s="4"/>
      <c r="B23" s="4" t="s">
        <v>325</v>
      </c>
    </row>
    <row r="24" spans="1:2" x14ac:dyDescent="0.25">
      <c r="A24" s="1"/>
      <c r="B24" s="1" t="s">
        <v>444</v>
      </c>
    </row>
    <row r="25" spans="1:2" x14ac:dyDescent="0.25">
      <c r="A25" s="1"/>
      <c r="B25" s="1" t="s">
        <v>222</v>
      </c>
    </row>
    <row r="26" spans="1:2" x14ac:dyDescent="0.25">
      <c r="A26" s="1"/>
      <c r="B26" s="1" t="s">
        <v>51</v>
      </c>
    </row>
    <row r="27" spans="1:2" x14ac:dyDescent="0.25">
      <c r="A27" s="1"/>
      <c r="B27" s="1" t="s">
        <v>327</v>
      </c>
    </row>
    <row r="28" spans="1:2" x14ac:dyDescent="0.25">
      <c r="A28" s="1"/>
      <c r="B28" s="1" t="s">
        <v>37</v>
      </c>
    </row>
    <row r="29" spans="1:2" x14ac:dyDescent="0.25">
      <c r="A29" s="1"/>
      <c r="B29" s="1" t="s">
        <v>37</v>
      </c>
    </row>
    <row r="30" spans="1:2" x14ac:dyDescent="0.25">
      <c r="A30" s="1"/>
      <c r="B30" s="1" t="s">
        <v>38</v>
      </c>
    </row>
    <row r="31" spans="1:2" x14ac:dyDescent="0.25">
      <c r="A31" s="1"/>
      <c r="B31" s="1" t="s">
        <v>225</v>
      </c>
    </row>
    <row r="32" spans="1:2" x14ac:dyDescent="0.25">
      <c r="A32" s="4"/>
      <c r="B32" s="1" t="s">
        <v>445</v>
      </c>
    </row>
    <row r="33" spans="1:2" ht="30" x14ac:dyDescent="0.25">
      <c r="A33" s="4"/>
      <c r="B33" s="4" t="s">
        <v>448</v>
      </c>
    </row>
    <row r="34" spans="1:2" x14ac:dyDescent="0.25">
      <c r="A34" s="1"/>
      <c r="B34" s="1" t="s">
        <v>446</v>
      </c>
    </row>
    <row r="35" spans="1:2" ht="45" x14ac:dyDescent="0.25">
      <c r="A35" s="4"/>
      <c r="B35" s="4" t="s">
        <v>447</v>
      </c>
    </row>
    <row r="36" spans="1:2" x14ac:dyDescent="0.25">
      <c r="A36" s="1"/>
      <c r="B36" s="1" t="s">
        <v>39</v>
      </c>
    </row>
    <row r="37" spans="1:2" x14ac:dyDescent="0.25">
      <c r="A37" s="4"/>
      <c r="B37" s="1" t="s">
        <v>331</v>
      </c>
    </row>
    <row r="38" spans="1:2" x14ac:dyDescent="0.25">
      <c r="A38" s="4"/>
      <c r="B38" s="4" t="s">
        <v>332</v>
      </c>
    </row>
    <row r="39" spans="1:2" x14ac:dyDescent="0.25">
      <c r="A39" s="1"/>
      <c r="B39" s="1" t="s">
        <v>37</v>
      </c>
    </row>
  </sheetData>
  <mergeCells count="1">
    <mergeCell ref="A1:B1"/>
  </mergeCell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E5BDAF40-658F-4327-B811-406C0830CAF6}">
          <x14:formula1>
            <xm:f>'База данных'!$B$2:$B$554</xm:f>
          </x14:formula1>
          <xm:sqref>B3:B39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5F6AD-7497-4568-95C4-C5C4A1F0D92C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Лист1</vt:lpstr>
      <vt:lpstr>Лист2</vt:lpstr>
      <vt:lpstr>забол мл по годам</vt:lpstr>
      <vt:lpstr>База данных</vt:lpstr>
      <vt:lpstr>Лист3</vt:lpstr>
      <vt:lpstr>cnh</vt:lpstr>
      <vt:lpstr>Лист4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2023-10-21T12:05:26Z</dcterms:modified>
</cp:coreProperties>
</file>